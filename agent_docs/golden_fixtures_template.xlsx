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Seller" sheetId="4" state="visible" r:id="rId4"/>
    <sheet xmlns:r="http://schemas.openxmlformats.org/officeDocument/2006/relationships" name="Equipment" sheetId="5" state="visible" r:id="rId5"/>
    <sheet xmlns:r="http://schemas.openxmlformats.org/officeDocument/2006/relationships" name="Acct Receivable" sheetId="6" state="visible" r:id="rId6"/>
    <sheet xmlns:r="http://schemas.openxmlformats.org/officeDocument/2006/relationships" name="Censacional" sheetId="7" state="visible" r:id="rId7"/>
    <sheet xmlns:r="http://schemas.openxmlformats.org/officeDocument/2006/relationships" name="Config 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2744"/>
      <sz val="12"/>
    </font>
    <font>
      <name val="Arial"/>
      <color rgb="00555555"/>
      <sz val="9"/>
    </font>
    <font>
      <name val="Arial"/>
      <b val="1"/>
      <color rgb="001F4E79"/>
      <sz val="10"/>
    </font>
    <font>
      <name val="Arial"/>
      <b val="1"/>
      <color rgb="00BF8F00"/>
      <sz val="10"/>
    </font>
    <font>
      <name val="Arial"/>
      <b val="1"/>
      <color rgb="002E7D32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color rgb="00666666"/>
      <sz val="9"/>
    </font>
    <font>
      <name val="Arial"/>
      <b val="1"/>
      <color rgb="00BF8F00"/>
      <sz val="11"/>
    </font>
    <font>
      <name val="Arial"/>
      <b val="1"/>
      <color rgb="002E7D32"/>
      <sz val="11"/>
    </font>
  </fonts>
  <fills count="9">
    <fill>
      <patternFill/>
    </fill>
    <fill>
      <patternFill patternType="gray125"/>
    </fill>
    <fill>
      <patternFill patternType="solid">
        <fgColor rgb="00DBEEF4"/>
      </patternFill>
    </fill>
    <fill>
      <patternFill patternType="solid">
        <fgColor rgb="00FFF3CD"/>
      </patternFill>
    </fill>
    <fill>
      <patternFill patternType="solid">
        <fgColor rgb="00D5F5D5"/>
      </patternFill>
    </fill>
    <fill>
      <patternFill patternType="solid">
        <fgColor rgb="00F5F5F5"/>
      </patternFill>
    </fill>
    <fill>
      <patternFill patternType="solid">
        <fgColor rgb="001F4E79"/>
      </patternFill>
    </fill>
    <fill>
      <patternFill patternType="solid">
        <fgColor rgb="00BF8F00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7" fillId="0" borderId="1" pivotButton="0" quotePrefix="0" xfId="0"/>
    <xf numFmtId="0" fontId="11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BUILD GOLDEN FIXTURES</t>
        </is>
      </c>
    </row>
    <row r="2">
      <c r="A2" t="inlineStr"/>
    </row>
    <row r="3">
      <c r="A3" s="2" t="inlineStr">
        <is>
          <t>This workbook helps you trace real SAP data through each transformation layer.</t>
        </is>
      </c>
    </row>
    <row r="4">
      <c r="A4" s="2" t="inlineStr">
        <is>
          <t>It's like tracing a record from PSA → DSO → Cube in BW, but for Bronze → Silver → Gold.</t>
        </is>
      </c>
    </row>
    <row r="5">
      <c r="A5" t="inlineStr"/>
    </row>
    <row r="6">
      <c r="A6" s="3" t="inlineStr">
        <is>
          <t>STEP 1: Extract real data from SAP (SE16/SE16N)</t>
        </is>
      </c>
    </row>
    <row r="7">
      <c r="A7" s="2" t="inlineStr">
        <is>
          <t xml:space="preserve">  Go to each SAP table (KNA1, VBRK, VBRP, EQUI, etc.)</t>
        </is>
      </c>
    </row>
    <row r="8">
      <c r="A8" s="2" t="inlineStr">
        <is>
          <t xml:space="preserve">  Pick 3-5 records per entity: 1 normal, 1 edge case, 1 cancelled/deleted</t>
        </is>
      </c>
    </row>
    <row r="9">
      <c r="A9" s="2" t="inlineStr">
        <is>
          <t xml:space="preserve">  Copy the values into the BLUE columns on each sheet</t>
        </is>
      </c>
    </row>
    <row r="10">
      <c r="A10" s="2" t="inlineStr">
        <is>
          <t xml:space="preserve">  ⚠️ Anonymize: change names/RUT digits but KEEP THE FORMAT (dots, dashes, leading zeros)</t>
        </is>
      </c>
    </row>
    <row r="11">
      <c r="A11" t="inlineStr"/>
    </row>
    <row r="12">
      <c r="A12" s="4" t="inlineStr">
        <is>
          <t>STEP 2: Derive Silver values (manually or with Claude)</t>
        </is>
      </c>
    </row>
    <row r="13">
      <c r="A13" s="2" t="inlineStr">
        <is>
          <t xml:space="preserve">  For each AMBER column, apply the rule shown in the 'Rule' row</t>
        </is>
      </c>
    </row>
    <row r="14">
      <c r="A14" s="2" t="inlineStr">
        <is>
          <t xml:space="preserve">  Easy: copy/passthrough. Medium: cast date/decimal. Hard: business rule + config lookup</t>
        </is>
      </c>
    </row>
    <row r="15">
      <c r="A15" s="2" t="inlineStr">
        <is>
          <t xml:space="preserve">  OR: Upload this workbook to your Seedz Builder project and ask:</t>
        </is>
      </c>
    </row>
    <row r="16">
      <c r="A16" s="2" t="inlineStr">
        <is>
          <t xml:space="preserve">  "Here is my Bronze data for Invoice. Derive the Silver expected values using the rules."</t>
        </is>
      </c>
    </row>
    <row r="17">
      <c r="A17" t="inlineStr"/>
    </row>
    <row r="18">
      <c r="A18" s="5" t="inlineStr">
        <is>
          <t>STEP 3: Derive Gold values (manually or with Claude)</t>
        </is>
      </c>
    </row>
    <row r="19">
      <c r="A19" s="2" t="inlineStr">
        <is>
          <t xml:space="preserve">  For each GREEN column, apply Seedz API mappings</t>
        </is>
      </c>
    </row>
    <row r="20">
      <c r="A20" s="2" t="inlineStr">
        <is>
          <t xml:space="preserve">  JOINs: look up customer.tax_id, seller.document, config.rut from other sheets</t>
        </is>
      </c>
    </row>
    <row r="21">
      <c r="A21" s="2" t="inlineStr">
        <is>
          <t xml:space="preserve">  All Gold values are STRING. Dates = dd-MM-yyyy HH:mm:ss. No NULLs (use empty string).</t>
        </is>
      </c>
    </row>
    <row r="22">
      <c r="A22" t="inlineStr"/>
    </row>
    <row r="23">
      <c r="A23" s="5" t="inlineStr">
        <is>
          <t>STEP 4: Export to golden_fixtures.md</t>
        </is>
      </c>
    </row>
    <row r="24">
      <c r="A24" s="2" t="inlineStr">
        <is>
          <t xml:space="preserve">  Convert the filled spreadsheet to markdown tables</t>
        </is>
      </c>
    </row>
    <row r="25">
      <c r="A25" s="2" t="inlineStr">
        <is>
          <t xml:space="preserve">  Upload to your Seedz Builder project as knowledge file #4</t>
        </is>
      </c>
    </row>
    <row r="26">
      <c r="A26" s="2" t="inlineStr">
        <is>
          <t xml:space="preserve">  OR: Upload this Excel directly — Claude can read it as a knowledge file too</t>
        </is>
      </c>
    </row>
    <row r="27">
      <c r="A27" t="inlineStr"/>
    </row>
    <row r="28">
      <c r="A28" s="6" t="inlineStr">
        <is>
          <t>COLOR LEGEND:</t>
        </is>
      </c>
    </row>
    <row r="30">
      <c r="A30" s="7" t="inlineStr">
        <is>
          <t>🔵 BLUE = Bronze (YOU fill from SE16)</t>
        </is>
      </c>
    </row>
    <row r="31">
      <c r="A31" s="8" t="inlineStr">
        <is>
          <t>🟡 AMBER = Silver (derive from rules)</t>
        </is>
      </c>
    </row>
    <row r="32">
      <c r="A32" s="9" t="inlineStr">
        <is>
          <t>🟢 GREEN = Gold (derive from Silver + JOINs)</t>
        </is>
      </c>
    </row>
    <row r="33">
      <c r="A33" s="10" t="inlineStr">
        <is>
          <t>⬜ GRAY = Rule/explanation (read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Golden Fixture: Customer</t>
        </is>
      </c>
    </row>
    <row r="2">
      <c r="A2" s="2" t="inlineStr">
        <is>
          <t>Records to extract from SE16: Normal | Deleted (DeletionFlag=X) | Minimal data</t>
        </is>
      </c>
    </row>
    <row r="4">
      <c r="A4" s="11" t="inlineStr">
        <is>
          <t>🔵 BRONZE — Fill from SE16 (all STRING)</t>
        </is>
      </c>
    </row>
    <row r="5">
      <c r="A5" s="12" t="inlineStr">
        <is>
          <t>Bronze Field</t>
        </is>
      </c>
      <c r="B5" s="12" t="inlineStr">
        <is>
          <t>SAP Table.Field</t>
        </is>
      </c>
      <c r="C5" s="12" t="inlineStr">
        <is>
          <t>Notes/Format</t>
        </is>
      </c>
      <c r="D5" s="12" t="inlineStr">
        <is>
          <t>Normal</t>
        </is>
      </c>
      <c r="E5" s="12" t="inlineStr">
        <is>
          <t>Deleted (DeletionFlag=X)</t>
        </is>
      </c>
      <c r="F5" s="12" t="inlineStr">
        <is>
          <t>Minimal data</t>
        </is>
      </c>
    </row>
    <row r="6">
      <c r="A6" s="13" t="inlineStr">
        <is>
          <t>CustomerNumber</t>
        </is>
      </c>
      <c r="B6" s="14" t="inlineStr">
        <is>
          <t>KNA1.KUNNR</t>
        </is>
      </c>
      <c r="C6" s="15" t="inlineStr">
        <is>
          <t>10-char with leading zeros</t>
        </is>
      </c>
      <c r="D6" s="16" t="inlineStr"/>
      <c r="E6" s="16" t="inlineStr"/>
      <c r="F6" s="16" t="inlineStr"/>
    </row>
    <row r="7">
      <c r="A7" s="13" t="inlineStr">
        <is>
          <t>Name1</t>
        </is>
      </c>
      <c r="B7" s="14" t="inlineStr">
        <is>
          <t>KNA1.NAME1</t>
        </is>
      </c>
      <c r="C7" s="15" t="inlineStr"/>
      <c r="D7" s="16" t="inlineStr"/>
      <c r="E7" s="16" t="inlineStr"/>
      <c r="F7" s="16" t="inlineStr"/>
    </row>
    <row r="8">
      <c r="A8" s="13" t="inlineStr">
        <is>
          <t>Name2</t>
        </is>
      </c>
      <c r="B8" s="14" t="inlineStr">
        <is>
          <t>KNA1.NAME2</t>
        </is>
      </c>
      <c r="C8" s="15" t="inlineStr">
        <is>
          <t>May be empty</t>
        </is>
      </c>
      <c r="D8" s="16" t="inlineStr"/>
      <c r="E8" s="16" t="inlineStr"/>
      <c r="F8" s="16" t="inlineStr"/>
    </row>
    <row r="9">
      <c r="A9" s="13" t="inlineStr">
        <is>
          <t>TaxNumber1</t>
        </is>
      </c>
      <c r="B9" s="14" t="inlineStr">
        <is>
          <t>KNA1.STCD1</t>
        </is>
      </c>
      <c r="C9" s="15" t="inlineStr">
        <is>
          <t>What format? Dots? Dashes?</t>
        </is>
      </c>
      <c r="D9" s="16" t="inlineStr"/>
      <c r="E9" s="16" t="inlineStr"/>
      <c r="F9" s="16" t="inlineStr"/>
    </row>
    <row r="10">
      <c r="A10" s="13" t="inlineStr">
        <is>
          <t>AccountGroup</t>
        </is>
      </c>
      <c r="B10" s="14" t="inlineStr">
        <is>
          <t>KNA1.KTOKD</t>
        </is>
      </c>
      <c r="C10" s="15" t="inlineStr"/>
      <c r="D10" s="16" t="inlineStr"/>
      <c r="E10" s="16" t="inlineStr"/>
      <c r="F10" s="16" t="inlineStr"/>
    </row>
    <row r="11">
      <c r="A11" s="13" t="inlineStr">
        <is>
          <t>Region</t>
        </is>
      </c>
      <c r="B11" s="14" t="inlineStr">
        <is>
          <t>KNA1.REGIO</t>
        </is>
      </c>
      <c r="C11" s="15" t="inlineStr">
        <is>
          <t>⚠️ NOT used for Silver.region</t>
        </is>
      </c>
      <c r="D11" s="16" t="inlineStr"/>
      <c r="E11" s="16" t="inlineStr"/>
      <c r="F11" s="16" t="inlineStr"/>
    </row>
    <row r="12">
      <c r="A12" s="13" t="inlineStr">
        <is>
          <t>CreatedDate</t>
        </is>
      </c>
      <c r="B12" s="14" t="inlineStr">
        <is>
          <t>KNA1.ERDAT</t>
        </is>
      </c>
      <c r="C12" s="15" t="inlineStr">
        <is>
          <t>YYYYMMDD. Edge: 00000000</t>
        </is>
      </c>
      <c r="D12" s="16" t="inlineStr"/>
      <c r="E12" s="16" t="inlineStr"/>
      <c r="F12" s="16" t="inlineStr"/>
    </row>
    <row r="13">
      <c r="A13" s="13" t="inlineStr">
        <is>
          <t>DeletionFlag</t>
        </is>
      </c>
      <c r="B13" s="14" t="inlineStr">
        <is>
          <t>KNA1.LOEVM</t>
        </is>
      </c>
      <c r="C13" s="15" t="inlineStr">
        <is>
          <t>X=deleted, empty=active</t>
        </is>
      </c>
      <c r="D13" s="16" t="inlineStr"/>
      <c r="E13" s="16" t="inlineStr"/>
      <c r="F13" s="16" t="inlineStr"/>
    </row>
    <row r="14">
      <c r="A14" s="13" t="inlineStr">
        <is>
          <t>City</t>
        </is>
      </c>
      <c r="B14" s="14" t="inlineStr">
        <is>
          <t>ADRC.CITY1</t>
        </is>
      </c>
      <c r="C14" s="15" t="inlineStr"/>
      <c r="D14" s="16" t="inlineStr"/>
      <c r="E14" s="16" t="inlineStr"/>
      <c r="F14" s="16" t="inlineStr"/>
    </row>
    <row r="15">
      <c r="A15" s="13" t="inlineStr">
        <is>
          <t>District</t>
        </is>
      </c>
      <c r="B15" s="14" t="inlineStr">
        <is>
          <t>ADRC.CITY2</t>
        </is>
      </c>
      <c r="C15" s="15" t="inlineStr"/>
      <c r="D15" s="16" t="inlineStr"/>
      <c r="E15" s="16" t="inlineStr"/>
      <c r="F15" s="16" t="inlineStr"/>
    </row>
    <row r="16">
      <c r="A16" s="13" t="inlineStr">
        <is>
          <t>PostalCode</t>
        </is>
      </c>
      <c r="B16" s="14" t="inlineStr">
        <is>
          <t>ADRC.POST_CODE1</t>
        </is>
      </c>
      <c r="C16" s="15" t="inlineStr"/>
      <c r="D16" s="16" t="inlineStr"/>
      <c r="E16" s="16" t="inlineStr"/>
      <c r="F16" s="16" t="inlineStr"/>
    </row>
    <row r="17">
      <c r="A17" s="13" t="inlineStr">
        <is>
          <t>Street</t>
        </is>
      </c>
      <c r="B17" s="14" t="inlineStr">
        <is>
          <t>ADRC.STREET</t>
        </is>
      </c>
      <c r="C17" s="15" t="inlineStr"/>
      <c r="D17" s="16" t="inlineStr"/>
      <c r="E17" s="16" t="inlineStr"/>
      <c r="F17" s="16" t="inlineStr"/>
    </row>
    <row r="18">
      <c r="A18" s="13" t="inlineStr">
        <is>
          <t>AddrRegion</t>
        </is>
      </c>
      <c r="B18" s="14" t="inlineStr">
        <is>
          <t>ADRC.REGION</t>
        </is>
      </c>
      <c r="C18" s="15" t="inlineStr">
        <is>
          <t>✅ THIS is Silver.region</t>
        </is>
      </c>
      <c r="D18" s="16" t="inlineStr"/>
      <c r="E18" s="16" t="inlineStr"/>
      <c r="F18" s="16" t="inlineStr"/>
    </row>
    <row r="19">
      <c r="A19" s="13" t="inlineStr">
        <is>
          <t>AddrCountry</t>
        </is>
      </c>
      <c r="B19" s="14" t="inlineStr">
        <is>
          <t>ADRC.COUNTRY</t>
        </is>
      </c>
      <c r="C19" s="15" t="inlineStr"/>
      <c r="D19" s="16" t="inlineStr"/>
      <c r="E19" s="16" t="inlineStr"/>
      <c r="F19" s="16" t="inlineStr"/>
    </row>
    <row r="20">
      <c r="A20" s="13" t="inlineStr">
        <is>
          <t>Phone</t>
        </is>
      </c>
      <c r="B20" s="14" t="inlineStr">
        <is>
          <t>ADRC.TEL_NUMBER</t>
        </is>
      </c>
      <c r="C20" s="15" t="inlineStr">
        <is>
          <t>What format?</t>
        </is>
      </c>
      <c r="D20" s="16" t="inlineStr"/>
      <c r="E20" s="16" t="inlineStr"/>
      <c r="F20" s="16" t="inlineStr"/>
    </row>
    <row r="22">
      <c r="A22" s="17" t="inlineStr">
        <is>
          <t>🟡 SILVER — Derive using rules (or ask Claude)</t>
        </is>
      </c>
    </row>
    <row r="23">
      <c r="A23" s="18" t="inlineStr">
        <is>
          <t>Silver Field</t>
        </is>
      </c>
      <c r="B23" s="18" t="inlineStr">
        <is>
          <t>Type</t>
        </is>
      </c>
      <c r="C23" s="18" t="inlineStr">
        <is>
          <t>Transformation Rule</t>
        </is>
      </c>
      <c r="D23" s="18" t="inlineStr">
        <is>
          <t>Expected 1</t>
        </is>
      </c>
      <c r="E23" s="18" t="inlineStr">
        <is>
          <t>Expected 2</t>
        </is>
      </c>
      <c r="F23" s="18" t="inlineStr">
        <is>
          <t>Expected 3</t>
        </is>
      </c>
    </row>
    <row r="24">
      <c r="A24" s="13" t="inlineStr">
        <is>
          <t>customer_number</t>
        </is>
      </c>
      <c r="B24" s="14" t="inlineStr">
        <is>
          <t>STRING</t>
        </is>
      </c>
      <c r="C24" s="15">
        <f> CustomerNumber (keep zeros)</f>
        <v/>
      </c>
      <c r="D24" s="19" t="inlineStr"/>
      <c r="E24" s="19" t="inlineStr"/>
      <c r="F24" s="19" t="inlineStr"/>
    </row>
    <row r="25">
      <c r="A25" s="13" t="inlineStr">
        <is>
          <t>customer_name</t>
        </is>
      </c>
      <c r="B25" s="14" t="inlineStr">
        <is>
          <t>STRING</t>
        </is>
      </c>
      <c r="C25" s="15" t="inlineStr">
        <is>
          <t>TRIM(CONCAT(Name1,' ',Name2))</t>
        </is>
      </c>
      <c r="D25" s="19" t="inlineStr"/>
      <c r="E25" s="19" t="inlineStr"/>
      <c r="F25" s="19" t="inlineStr"/>
    </row>
    <row r="26">
      <c r="A26" s="13" t="inlineStr">
        <is>
          <t>tax_id</t>
        </is>
      </c>
      <c r="B26" s="14" t="inlineStr">
        <is>
          <t>STRING</t>
        </is>
      </c>
      <c r="C26" s="15" t="inlineStr">
        <is>
          <t>REGEXP_REPLACE(TaxNumber1, '[^0-9]', '')</t>
        </is>
      </c>
      <c r="D26" s="19" t="inlineStr"/>
      <c r="E26" s="19" t="inlineStr"/>
      <c r="F26" s="19" t="inlineStr"/>
    </row>
    <row r="27">
      <c r="A27" s="13" t="inlineStr">
        <is>
          <t>city</t>
        </is>
      </c>
      <c r="B27" s="14" t="inlineStr">
        <is>
          <t>STRING</t>
        </is>
      </c>
      <c r="C27" s="15">
        <f> City</f>
        <v/>
      </c>
      <c r="D27" s="19" t="inlineStr"/>
      <c r="E27" s="19" t="inlineStr"/>
      <c r="F27" s="19" t="inlineStr"/>
    </row>
    <row r="28">
      <c r="A28" s="13" t="inlineStr">
        <is>
          <t>district</t>
        </is>
      </c>
      <c r="B28" s="14" t="inlineStr">
        <is>
          <t>STRING</t>
        </is>
      </c>
      <c r="C28" s="15">
        <f> District</f>
        <v/>
      </c>
      <c r="D28" s="19" t="inlineStr"/>
      <c r="E28" s="19" t="inlineStr"/>
      <c r="F28" s="19" t="inlineStr"/>
    </row>
    <row r="29">
      <c r="A29" s="13" t="inlineStr">
        <is>
          <t>postal_code</t>
        </is>
      </c>
      <c r="B29" s="14" t="inlineStr">
        <is>
          <t>STRING</t>
        </is>
      </c>
      <c r="C29" s="15">
        <f> PostalCode</f>
        <v/>
      </c>
      <c r="D29" s="19" t="inlineStr"/>
      <c r="E29" s="19" t="inlineStr"/>
      <c r="F29" s="19" t="inlineStr"/>
    </row>
    <row r="30">
      <c r="A30" s="13" t="inlineStr">
        <is>
          <t>street</t>
        </is>
      </c>
      <c r="B30" s="14" t="inlineStr">
        <is>
          <t>STRING</t>
        </is>
      </c>
      <c r="C30" s="15">
        <f> Street</f>
        <v/>
      </c>
      <c r="D30" s="19" t="inlineStr"/>
      <c r="E30" s="19" t="inlineStr"/>
      <c r="F30" s="19" t="inlineStr"/>
    </row>
    <row r="31">
      <c r="A31" s="13" t="inlineStr">
        <is>
          <t>region</t>
        </is>
      </c>
      <c r="B31" s="14" t="inlineStr">
        <is>
          <t>STRING</t>
        </is>
      </c>
      <c r="C31" s="15">
        <f> AddrRegion ⚠️ NOT Region</f>
        <v/>
      </c>
      <c r="D31" s="19" t="inlineStr"/>
      <c r="E31" s="19" t="inlineStr"/>
      <c r="F31" s="19" t="inlineStr"/>
    </row>
    <row r="32">
      <c r="A32" s="13" t="inlineStr">
        <is>
          <t>country</t>
        </is>
      </c>
      <c r="B32" s="14" t="inlineStr">
        <is>
          <t>STRING</t>
        </is>
      </c>
      <c r="C32" s="15">
        <f> AddrCountry</f>
        <v/>
      </c>
      <c r="D32" s="19" t="inlineStr"/>
      <c r="E32" s="19" t="inlineStr"/>
      <c r="F32" s="19" t="inlineStr"/>
    </row>
    <row r="33">
      <c r="A33" s="13" t="inlineStr">
        <is>
          <t>phone</t>
        </is>
      </c>
      <c r="B33" s="14" t="inlineStr">
        <is>
          <t>STRING</t>
        </is>
      </c>
      <c r="C33" s="15" t="inlineStr">
        <is>
          <t>REGEXP_REPLACE(Phone, '[^0-9]', '')</t>
        </is>
      </c>
      <c r="D33" s="19" t="inlineStr"/>
      <c r="E33" s="19" t="inlineStr"/>
      <c r="F33" s="19" t="inlineStr"/>
    </row>
    <row r="34">
      <c r="A34" s="13" t="inlineStr">
        <is>
          <t>email</t>
        </is>
      </c>
      <c r="B34" s="14" t="inlineStr">
        <is>
          <t>STRING</t>
        </is>
      </c>
      <c r="C34" s="15" t="inlineStr">
        <is>
          <t>NULL (O6 pending)</t>
        </is>
      </c>
      <c r="D34" s="19" t="inlineStr"/>
      <c r="E34" s="19" t="inlineStr"/>
      <c r="F34" s="19" t="inlineStr"/>
    </row>
    <row r="35">
      <c r="A35" s="13" t="inlineStr">
        <is>
          <t>account_group</t>
        </is>
      </c>
      <c r="B35" s="14" t="inlineStr">
        <is>
          <t>STRING</t>
        </is>
      </c>
      <c r="C35" s="15">
        <f> AccountGroup</f>
        <v/>
      </c>
      <c r="D35" s="19" t="inlineStr"/>
      <c r="E35" s="19" t="inlineStr"/>
      <c r="F35" s="19" t="inlineStr"/>
    </row>
    <row r="36">
      <c r="A36" s="13" t="inlineStr">
        <is>
          <t>created_date</t>
        </is>
      </c>
      <c r="B36" s="14" t="inlineStr">
        <is>
          <t>DATE</t>
        </is>
      </c>
      <c r="C36" s="15" t="inlineStr">
        <is>
          <t>safe_cast_date(CreatedDate). 00000000→NULL</t>
        </is>
      </c>
      <c r="D36" s="19" t="inlineStr"/>
      <c r="E36" s="19" t="inlineStr"/>
      <c r="F36" s="19" t="inlineStr"/>
    </row>
    <row r="37">
      <c r="A37" s="13" t="inlineStr">
        <is>
          <t>is_deleted</t>
        </is>
      </c>
      <c r="B37" s="14" t="inlineStr">
        <is>
          <t>BOOLEAN</t>
        </is>
      </c>
      <c r="C37" s="15" t="inlineStr">
        <is>
          <t>DeletionFlag='X' → True, else False</t>
        </is>
      </c>
      <c r="D37" s="19" t="inlineStr"/>
      <c r="E37" s="19" t="inlineStr"/>
      <c r="F37" s="19" t="inlineStr"/>
    </row>
    <row r="39">
      <c r="A39" s="20" t="inlineStr">
        <is>
          <t>🟢 GOLD — Derive from Silver + JOINs (Seedz API format)</t>
        </is>
      </c>
    </row>
    <row r="40">
      <c r="A40" s="21" t="inlineStr">
        <is>
          <t>Gold/API Field</t>
        </is>
      </c>
      <c r="B40" s="21" t="inlineStr">
        <is>
          <t>Type</t>
        </is>
      </c>
      <c r="C40" s="21" t="inlineStr">
        <is>
          <t>Derivation Rule</t>
        </is>
      </c>
      <c r="D40" s="21" t="inlineStr">
        <is>
          <t>Expected 1</t>
        </is>
      </c>
      <c r="E40" s="21" t="inlineStr">
        <is>
          <t>Expected 2</t>
        </is>
      </c>
      <c r="F40" s="21" t="inlineStr">
        <is>
          <t>Expected 3</t>
        </is>
      </c>
    </row>
    <row r="41">
      <c r="A41" s="13" t="inlineStr">
        <is>
          <t>identification</t>
        </is>
      </c>
      <c r="B41" s="14" t="inlineStr">
        <is>
          <t>STRING</t>
        </is>
      </c>
      <c r="C41" s="15" t="inlineStr">
        <is>
          <t>config_company.rut (master data = RUT only, no plant)</t>
        </is>
      </c>
      <c r="D41" s="22" t="inlineStr"/>
      <c r="E41" s="22" t="inlineStr"/>
      <c r="F41" s="22" t="inlineStr"/>
    </row>
    <row r="42">
      <c r="A42" s="13" t="inlineStr">
        <is>
          <t>id</t>
        </is>
      </c>
      <c r="B42" s="14" t="inlineStr">
        <is>
          <t>STRING</t>
        </is>
      </c>
      <c r="C42" s="15">
        <f> customer_number</f>
        <v/>
      </c>
      <c r="D42" s="22" t="inlineStr"/>
      <c r="E42" s="22" t="inlineStr"/>
      <c r="F42" s="22" t="inlineStr"/>
    </row>
    <row r="43">
      <c r="A43" s="13" t="inlineStr">
        <is>
          <t>companyName</t>
        </is>
      </c>
      <c r="B43" s="14" t="inlineStr">
        <is>
          <t>STRING</t>
        </is>
      </c>
      <c r="C43" s="15">
        <f> customer_name</f>
        <v/>
      </c>
      <c r="D43" s="22" t="inlineStr"/>
      <c r="E43" s="22" t="inlineStr"/>
      <c r="F43" s="22" t="inlineStr"/>
    </row>
    <row r="44">
      <c r="A44" s="13" t="inlineStr">
        <is>
          <t>clientIdentification</t>
        </is>
      </c>
      <c r="B44" s="14" t="inlineStr">
        <is>
          <t>STRING</t>
        </is>
      </c>
      <c r="C44" s="15">
        <f> tax_id</f>
        <v/>
      </c>
      <c r="D44" s="22" t="inlineStr"/>
      <c r="E44" s="22" t="inlineStr"/>
      <c r="F44" s="22" t="inlineStr"/>
    </row>
    <row r="45">
      <c r="A45" s="13" t="inlineStr">
        <is>
          <t>phones</t>
        </is>
      </c>
      <c r="B45" s="14" t="inlineStr">
        <is>
          <t>STRING</t>
        </is>
      </c>
      <c r="C45" s="15">
        <f> phone</f>
        <v/>
      </c>
      <c r="D45" s="22" t="inlineStr"/>
      <c r="E45" s="22" t="inlineStr"/>
      <c r="F45" s="22" t="inlineStr"/>
    </row>
    <row r="46">
      <c r="A46" s="13" t="inlineStr">
        <is>
          <t>email</t>
        </is>
      </c>
      <c r="B46" s="14" t="inlineStr">
        <is>
          <t>STRING</t>
        </is>
      </c>
      <c r="C46" s="15">
        <f> email. NULL → empty string ''</f>
        <v/>
      </c>
      <c r="D46" s="22" t="inlineStr"/>
      <c r="E46" s="22" t="inlineStr"/>
      <c r="F46" s="22" t="inlineStr"/>
    </row>
    <row r="47">
      <c r="A47" s="13" t="inlineStr">
        <is>
          <t>createdAt</t>
        </is>
      </c>
      <c r="B47" s="14" t="inlineStr">
        <is>
          <t>STRING</t>
        </is>
      </c>
      <c r="C47" s="15" t="inlineStr">
        <is>
          <t>dd-MM-yyyy HH:mm:ss from created_date</t>
        </is>
      </c>
      <c r="D47" s="22" t="inlineStr"/>
      <c r="E47" s="22" t="inlineStr"/>
      <c r="F47" s="22" t="inlineStr"/>
    </row>
    <row r="48">
      <c r="A48" s="13" t="inlineStr">
        <is>
          <t>updatedAt</t>
        </is>
      </c>
      <c r="B48" s="14" t="inlineStr">
        <is>
          <t>STRING</t>
        </is>
      </c>
      <c r="C48" s="15" t="inlineStr">
        <is>
          <t>Always current_timestamp()</t>
        </is>
      </c>
      <c r="D48" s="22" t="inlineStr"/>
      <c r="E48" s="22" t="inlineStr"/>
      <c r="F48" s="22" t="inlineStr"/>
    </row>
  </sheetData>
  <mergeCells count="5">
    <mergeCell ref="A2:H2"/>
    <mergeCell ref="A22:C22"/>
    <mergeCell ref="A39:C39"/>
    <mergeCell ref="A1:H1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Golden Fixture: Invoice</t>
        </is>
      </c>
    </row>
    <row r="2">
      <c r="A2" s="2" t="inlineStr">
        <is>
          <t>Records to extract from SE16: Normal machinery | Cancelled (FKSTO=X) | Credit memo (VBTYP=O) | Parts invoice</t>
        </is>
      </c>
    </row>
    <row r="4">
      <c r="A4" s="11" t="inlineStr">
        <is>
          <t>🔵 BRONZE — Fill from SE16 (all STRING)</t>
        </is>
      </c>
    </row>
    <row r="5">
      <c r="A5" s="12" t="inlineStr">
        <is>
          <t>Bronze Field</t>
        </is>
      </c>
      <c r="B5" s="12" t="inlineStr">
        <is>
          <t>SAP Table.Field</t>
        </is>
      </c>
      <c r="C5" s="12" t="inlineStr">
        <is>
          <t>Notes/Format</t>
        </is>
      </c>
      <c r="D5" s="12" t="inlineStr">
        <is>
          <t>Normal machinery</t>
        </is>
      </c>
      <c r="E5" s="12" t="inlineStr">
        <is>
          <t>Cancelled (FKSTO=X)</t>
        </is>
      </c>
      <c r="F5" s="12" t="inlineStr">
        <is>
          <t>Credit memo (VBTYP=O)</t>
        </is>
      </c>
      <c r="G5" s="12" t="inlineStr">
        <is>
          <t>Parts invoice</t>
        </is>
      </c>
    </row>
    <row r="6">
      <c r="A6" s="13" t="inlineStr">
        <is>
          <t>BillingDocument</t>
        </is>
      </c>
      <c r="B6" s="14" t="inlineStr">
        <is>
          <t>VBRK.VBELN</t>
        </is>
      </c>
      <c r="C6" s="15" t="inlineStr">
        <is>
          <t>10-char leading zeros</t>
        </is>
      </c>
      <c r="D6" s="16" t="inlineStr"/>
      <c r="E6" s="16" t="inlineStr"/>
      <c r="F6" s="16" t="inlineStr"/>
      <c r="G6" s="16" t="inlineStr"/>
    </row>
    <row r="7">
      <c r="A7" s="13" t="inlineStr">
        <is>
          <t>BillingItem</t>
        </is>
      </c>
      <c r="B7" s="14" t="inlineStr">
        <is>
          <t>VBRP.POSNR</t>
        </is>
      </c>
      <c r="C7" s="15" t="inlineStr">
        <is>
          <t>6-char leading zeros</t>
        </is>
      </c>
      <c r="D7" s="16" t="inlineStr"/>
      <c r="E7" s="16" t="inlineStr"/>
      <c r="F7" s="16" t="inlineStr"/>
      <c r="G7" s="16" t="inlineStr"/>
    </row>
    <row r="8">
      <c r="A8" s="13" t="inlineStr">
        <is>
          <t>BillingType</t>
        </is>
      </c>
      <c r="B8" s="14" t="inlineStr">
        <is>
          <t>VBRK.FKART</t>
        </is>
      </c>
      <c r="C8" s="15" t="inlineStr">
        <is>
          <t>ZFAC, ZCRE, etc.</t>
        </is>
      </c>
      <c r="D8" s="16" t="inlineStr"/>
      <c r="E8" s="16" t="inlineStr"/>
      <c r="F8" s="16" t="inlineStr"/>
      <c r="G8" s="16" t="inlineStr"/>
    </row>
    <row r="9">
      <c r="A9" s="13" t="inlineStr">
        <is>
          <t>BillingDate</t>
        </is>
      </c>
      <c r="B9" s="14" t="inlineStr">
        <is>
          <t>VBRK.FKDAT</t>
        </is>
      </c>
      <c r="C9" s="15" t="inlineStr">
        <is>
          <t>YYYYMMDD</t>
        </is>
      </c>
      <c r="D9" s="16" t="inlineStr"/>
      <c r="E9" s="16" t="inlineStr"/>
      <c r="F9" s="16" t="inlineStr"/>
      <c r="G9" s="16" t="inlineStr"/>
    </row>
    <row r="10">
      <c r="A10" s="13" t="inlineStr">
        <is>
          <t>SalesOrg</t>
        </is>
      </c>
      <c r="B10" s="14" t="inlineStr">
        <is>
          <t>VBRK.VKORG</t>
        </is>
      </c>
      <c r="C10" s="15" t="inlineStr"/>
      <c r="D10" s="16" t="inlineStr"/>
      <c r="E10" s="16" t="inlineStr"/>
      <c r="F10" s="16" t="inlineStr"/>
      <c r="G10" s="16" t="inlineStr"/>
    </row>
    <row r="11">
      <c r="A11" s="13" t="inlineStr">
        <is>
          <t>Division</t>
        </is>
      </c>
      <c r="B11" s="14" t="inlineStr">
        <is>
          <t>VBRK.SPART</t>
        </is>
      </c>
      <c r="C11" s="15" t="inlineStr">
        <is>
          <t>M0/M1/M2=machinery</t>
        </is>
      </c>
      <c r="D11" s="16" t="inlineStr"/>
      <c r="E11" s="16" t="inlineStr"/>
      <c r="F11" s="16" t="inlineStr"/>
      <c r="G11" s="16" t="inlineStr"/>
    </row>
    <row r="12">
      <c r="A12" s="13" t="inlineStr">
        <is>
          <t>SoldToParty</t>
        </is>
      </c>
      <c r="B12" s="14" t="inlineStr">
        <is>
          <t>VBRK.KUNAG</t>
        </is>
      </c>
      <c r="C12" s="15" t="inlineStr">
        <is>
          <t>10-char</t>
        </is>
      </c>
      <c r="D12" s="16" t="inlineStr"/>
      <c r="E12" s="16" t="inlineStr"/>
      <c r="F12" s="16" t="inlineStr"/>
      <c r="G12" s="16" t="inlineStr"/>
    </row>
    <row r="13">
      <c r="A13" s="13" t="inlineStr">
        <is>
          <t>Payer</t>
        </is>
      </c>
      <c r="B13" s="14" t="inlineStr">
        <is>
          <t>VBRK.KUNRG</t>
        </is>
      </c>
      <c r="C13" s="15" t="inlineStr">
        <is>
          <t>10-char</t>
        </is>
      </c>
      <c r="D13" s="16" t="inlineStr"/>
      <c r="E13" s="16" t="inlineStr"/>
      <c r="F13" s="16" t="inlineStr"/>
      <c r="G13" s="16" t="inlineStr"/>
    </row>
    <row r="14">
      <c r="A14" s="13" t="inlineStr">
        <is>
          <t>NetValueHeader</t>
        </is>
      </c>
      <c r="B14" s="14" t="inlineStr">
        <is>
          <t>VBRK.NETWR</t>
        </is>
      </c>
      <c r="C14" s="15" t="inlineStr">
        <is>
          <t>⚠️ Trailing minus? Decimals?</t>
        </is>
      </c>
      <c r="D14" s="16" t="inlineStr"/>
      <c r="E14" s="16" t="inlineStr"/>
      <c r="F14" s="16" t="inlineStr"/>
      <c r="G14" s="16" t="inlineStr"/>
    </row>
    <row r="15">
      <c r="A15" s="13" t="inlineStr">
        <is>
          <t>Currency</t>
        </is>
      </c>
      <c r="B15" s="14" t="inlineStr">
        <is>
          <t>VBRK.WAERK</t>
        </is>
      </c>
      <c r="C15" s="15" t="inlineStr">
        <is>
          <t>CLP</t>
        </is>
      </c>
      <c r="D15" s="16" t="inlineStr"/>
      <c r="E15" s="16" t="inlineStr"/>
      <c r="F15" s="16" t="inlineStr"/>
      <c r="G15" s="16" t="inlineStr"/>
    </row>
    <row r="16">
      <c r="A16" s="13" t="inlineStr">
        <is>
          <t>SDDocCategory</t>
        </is>
      </c>
      <c r="B16" s="14" t="inlineStr">
        <is>
          <t>VBRK.VBTYP</t>
        </is>
      </c>
      <c r="C16" s="15" t="inlineStr">
        <is>
          <t>M=inv, N=return, O=credit</t>
        </is>
      </c>
      <c r="D16" s="16" t="inlineStr"/>
      <c r="E16" s="16" t="inlineStr"/>
      <c r="F16" s="16" t="inlineStr"/>
      <c r="G16" s="16" t="inlineStr"/>
    </row>
    <row r="17">
      <c r="A17" s="13" t="inlineStr">
        <is>
          <t>BillingStatus</t>
        </is>
      </c>
      <c r="B17" s="14" t="inlineStr">
        <is>
          <t>VBRK.RFBSK</t>
        </is>
      </c>
      <c r="C17" s="15" t="inlineStr">
        <is>
          <t>C=completed, A=denied</t>
        </is>
      </c>
      <c r="D17" s="16" t="inlineStr"/>
      <c r="E17" s="16" t="inlineStr"/>
      <c r="F17" s="16" t="inlineStr"/>
      <c r="G17" s="16" t="inlineStr"/>
    </row>
    <row r="18">
      <c r="A18" s="13" t="inlineStr">
        <is>
          <t>CancelledFlag</t>
        </is>
      </c>
      <c r="B18" s="14" t="inlineStr">
        <is>
          <t>VBRK.FKSTO</t>
        </is>
      </c>
      <c r="C18" s="15" t="inlineStr">
        <is>
          <t>X=cancelled, empty=active</t>
        </is>
      </c>
      <c r="D18" s="16" t="inlineStr"/>
      <c r="E18" s="16" t="inlineStr"/>
      <c r="F18" s="16" t="inlineStr"/>
      <c r="G18" s="16" t="inlineStr"/>
    </row>
    <row r="19">
      <c r="A19" s="13" t="inlineStr">
        <is>
          <t>CancelledBilling</t>
        </is>
      </c>
      <c r="B19" s="14" t="inlineStr">
        <is>
          <t>VBRK.SFAKN</t>
        </is>
      </c>
      <c r="C19" s="15" t="inlineStr">
        <is>
          <t>Original invoice if credit memo</t>
        </is>
      </c>
      <c r="D19" s="16" t="inlineStr"/>
      <c r="E19" s="16" t="inlineStr"/>
      <c r="F19" s="16" t="inlineStr"/>
      <c r="G19" s="16" t="inlineStr"/>
    </row>
    <row r="20">
      <c r="A20" s="13" t="inlineStr">
        <is>
          <t>CreatedDate</t>
        </is>
      </c>
      <c r="B20" s="14" t="inlineStr">
        <is>
          <t>VBRK.ERDAT</t>
        </is>
      </c>
      <c r="C20" s="15" t="inlineStr">
        <is>
          <t>YYYYMMDD</t>
        </is>
      </c>
      <c r="D20" s="16" t="inlineStr"/>
      <c r="E20" s="16" t="inlineStr"/>
      <c r="F20" s="16" t="inlineStr"/>
      <c r="G20" s="16" t="inlineStr"/>
    </row>
    <row r="21">
      <c r="A21" s="13" t="inlineStr">
        <is>
          <t>CreatedTime</t>
        </is>
      </c>
      <c r="B21" s="14" t="inlineStr">
        <is>
          <t>VBRK.ERZET</t>
        </is>
      </c>
      <c r="C21" s="15" t="inlineStr">
        <is>
          <t>HHMMSS</t>
        </is>
      </c>
      <c r="D21" s="16" t="inlineStr"/>
      <c r="E21" s="16" t="inlineStr"/>
      <c r="F21" s="16" t="inlineStr"/>
      <c r="G21" s="16" t="inlineStr"/>
    </row>
    <row r="22">
      <c r="A22" s="13" t="inlineStr">
        <is>
          <t>Material</t>
        </is>
      </c>
      <c r="B22" s="14" t="inlineStr">
        <is>
          <t>VBRP.MATNR</t>
        </is>
      </c>
      <c r="C22" s="15" t="inlineStr">
        <is>
          <t>18-char</t>
        </is>
      </c>
      <c r="D22" s="16" t="inlineStr"/>
      <c r="E22" s="16" t="inlineStr"/>
      <c r="F22" s="16" t="inlineStr"/>
      <c r="G22" s="16" t="inlineStr"/>
    </row>
    <row r="23">
      <c r="A23" s="13" t="inlineStr">
        <is>
          <t>ItemDescription</t>
        </is>
      </c>
      <c r="B23" s="14" t="inlineStr">
        <is>
          <t>VBRP.ARKTX</t>
        </is>
      </c>
      <c r="C23" s="15" t="inlineStr"/>
      <c r="D23" s="16" t="inlineStr"/>
      <c r="E23" s="16" t="inlineStr"/>
      <c r="F23" s="16" t="inlineStr"/>
      <c r="G23" s="16" t="inlineStr"/>
    </row>
    <row r="24">
      <c r="A24" s="13" t="inlineStr">
        <is>
          <t>BilledQty</t>
        </is>
      </c>
      <c r="B24" s="14" t="inlineStr">
        <is>
          <t>VBRP.FKIMG</t>
        </is>
      </c>
      <c r="C24" s="15" t="inlineStr">
        <is>
          <t>⚠️ Trailing minus?</t>
        </is>
      </c>
      <c r="D24" s="16" t="inlineStr"/>
      <c r="E24" s="16" t="inlineStr"/>
      <c r="F24" s="16" t="inlineStr"/>
      <c r="G24" s="16" t="inlineStr"/>
    </row>
    <row r="25">
      <c r="A25" s="13" t="inlineStr">
        <is>
          <t>NetValueItem</t>
        </is>
      </c>
      <c r="B25" s="14" t="inlineStr">
        <is>
          <t>VBRP.NETWR</t>
        </is>
      </c>
      <c r="C25" s="15" t="inlineStr">
        <is>
          <t>⚠️ Trailing minus?</t>
        </is>
      </c>
      <c r="D25" s="16" t="inlineStr"/>
      <c r="E25" s="16" t="inlineStr"/>
      <c r="F25" s="16" t="inlineStr"/>
      <c r="G25" s="16" t="inlineStr"/>
    </row>
    <row r="26">
      <c r="A26" s="13" t="inlineStr">
        <is>
          <t>TaxAmount</t>
        </is>
      </c>
      <c r="B26" s="14" t="inlineStr">
        <is>
          <t>VBRP.MWSBP</t>
        </is>
      </c>
      <c r="C26" s="15" t="inlineStr">
        <is>
          <t>⚠️ Trailing minus?</t>
        </is>
      </c>
      <c r="D26" s="16" t="inlineStr"/>
      <c r="E26" s="16" t="inlineStr"/>
      <c r="F26" s="16" t="inlineStr"/>
      <c r="G26" s="16" t="inlineStr"/>
    </row>
    <row r="27">
      <c r="A27" s="13" t="inlineStr">
        <is>
          <t>Plant</t>
        </is>
      </c>
      <c r="B27" s="14" t="inlineStr">
        <is>
          <t>VBRP.WERKS</t>
        </is>
      </c>
      <c r="C27" s="15" t="inlineStr"/>
      <c r="D27" s="16" t="inlineStr"/>
      <c r="E27" s="16" t="inlineStr"/>
      <c r="F27" s="16" t="inlineStr"/>
      <c r="G27" s="16" t="inlineStr"/>
    </row>
    <row r="28">
      <c r="A28" s="13" t="inlineStr">
        <is>
          <t>MaterialGroup</t>
        </is>
      </c>
      <c r="B28" s="14" t="inlineStr">
        <is>
          <t>VBRP.MATKL</t>
        </is>
      </c>
      <c r="C28" s="15" t="inlineStr">
        <is>
          <t>0005=machinery</t>
        </is>
      </c>
      <c r="D28" s="16" t="inlineStr"/>
      <c r="E28" s="16" t="inlineStr"/>
      <c r="F28" s="16" t="inlineStr"/>
      <c r="G28" s="16" t="inlineStr"/>
    </row>
    <row r="29">
      <c r="A29" s="13" t="inlineStr">
        <is>
          <t>SalesOrder</t>
        </is>
      </c>
      <c r="B29" s="14" t="inlineStr">
        <is>
          <t>VBRP.AUBEL</t>
        </is>
      </c>
      <c r="C29" s="15" t="inlineStr">
        <is>
          <t>May be empty</t>
        </is>
      </c>
      <c r="D29" s="16" t="inlineStr"/>
      <c r="E29" s="16" t="inlineStr"/>
      <c r="F29" s="16" t="inlineStr"/>
      <c r="G29" s="16" t="inlineStr"/>
    </row>
    <row r="30">
      <c r="A30" s="13" t="inlineStr">
        <is>
          <t>SalesOrderItem</t>
        </is>
      </c>
      <c r="B30" s="14" t="inlineStr">
        <is>
          <t>VBRP.AUPOS</t>
        </is>
      </c>
      <c r="C30" s="15" t="inlineStr"/>
      <c r="D30" s="16" t="inlineStr"/>
      <c r="E30" s="16" t="inlineStr"/>
      <c r="F30" s="16" t="inlineStr"/>
      <c r="G30" s="16" t="inlineStr"/>
    </row>
    <row r="31">
      <c r="A31" s="13" t="inlineStr">
        <is>
          <t>Batch</t>
        </is>
      </c>
      <c r="B31" s="14" t="inlineStr">
        <is>
          <t>VBRP.CHARG</t>
        </is>
      </c>
      <c r="C31" s="15" t="inlineStr">
        <is>
          <t>Links to EQUI. Empty for parts</t>
        </is>
      </c>
      <c r="D31" s="16" t="inlineStr"/>
      <c r="E31" s="16" t="inlineStr"/>
      <c r="F31" s="16" t="inlineStr"/>
      <c r="G31" s="16" t="inlineStr"/>
    </row>
    <row r="32">
      <c r="A32" s="13" t="inlineStr">
        <is>
          <t>SellerPartner</t>
        </is>
      </c>
      <c r="B32" s="14" t="inlineStr">
        <is>
          <t>VBPA.KUNNR</t>
        </is>
      </c>
      <c r="C32" s="15" t="inlineStr">
        <is>
          <t>PARVW=VE</t>
        </is>
      </c>
      <c r="D32" s="16" t="inlineStr"/>
      <c r="E32" s="16" t="inlineStr"/>
      <c r="F32" s="16" t="inlineStr"/>
      <c r="G32" s="16" t="inlineStr"/>
    </row>
    <row r="33">
      <c r="A33" s="13" t="inlineStr">
        <is>
          <t>ReferenceDoc</t>
        </is>
      </c>
      <c r="B33" s="14" t="inlineStr">
        <is>
          <t>VBRK.SFAKN</t>
        </is>
      </c>
      <c r="C33" s="15" t="inlineStr">
        <is>
          <t>For credit memos</t>
        </is>
      </c>
      <c r="D33" s="16" t="inlineStr"/>
      <c r="E33" s="16" t="inlineStr"/>
      <c r="F33" s="16" t="inlineStr"/>
      <c r="G33" s="16" t="inlineStr"/>
    </row>
    <row r="35">
      <c r="A35" s="17" t="inlineStr">
        <is>
          <t>🟡 SILVER — Derive using rules (or ask Claude)</t>
        </is>
      </c>
    </row>
    <row r="36">
      <c r="A36" s="18" t="inlineStr">
        <is>
          <t>Silver Field</t>
        </is>
      </c>
      <c r="B36" s="18" t="inlineStr">
        <is>
          <t>Type</t>
        </is>
      </c>
      <c r="C36" s="18" t="inlineStr">
        <is>
          <t>Transformation Rule</t>
        </is>
      </c>
      <c r="D36" s="18" t="inlineStr">
        <is>
          <t>Expected 1</t>
        </is>
      </c>
      <c r="E36" s="18" t="inlineStr">
        <is>
          <t>Expected 2</t>
        </is>
      </c>
      <c r="F36" s="18" t="inlineStr">
        <is>
          <t>Expected 3</t>
        </is>
      </c>
      <c r="G36" s="18" t="inlineStr">
        <is>
          <t>Expected 4</t>
        </is>
      </c>
    </row>
    <row r="37">
      <c r="A37" s="13" t="inlineStr">
        <is>
          <t>billing_document</t>
        </is>
      </c>
      <c r="B37" s="14" t="inlineStr">
        <is>
          <t>STRING</t>
        </is>
      </c>
      <c r="C37" s="15">
        <f> BillingDocument (keep zeros)</f>
        <v/>
      </c>
      <c r="D37" s="19" t="inlineStr"/>
      <c r="E37" s="19" t="inlineStr"/>
      <c r="F37" s="19" t="inlineStr"/>
      <c r="G37" s="19" t="inlineStr"/>
    </row>
    <row r="38">
      <c r="A38" s="13" t="inlineStr">
        <is>
          <t>billing_item</t>
        </is>
      </c>
      <c r="B38" s="14" t="inlineStr">
        <is>
          <t>STRING</t>
        </is>
      </c>
      <c r="C38" s="15">
        <f> BillingItem</f>
        <v/>
      </c>
      <c r="D38" s="19" t="inlineStr"/>
      <c r="E38" s="19" t="inlineStr"/>
      <c r="F38" s="19" t="inlineStr"/>
      <c r="G38" s="19" t="inlineStr"/>
    </row>
    <row r="39">
      <c r="A39" s="13" t="inlineStr">
        <is>
          <t>billing_type</t>
        </is>
      </c>
      <c r="B39" s="14" t="inlineStr">
        <is>
          <t>STRING</t>
        </is>
      </c>
      <c r="C39" s="15">
        <f> BillingType</f>
        <v/>
      </c>
      <c r="D39" s="19" t="inlineStr"/>
      <c r="E39" s="19" t="inlineStr"/>
      <c r="F39" s="19" t="inlineStr"/>
      <c r="G39" s="19" t="inlineStr"/>
    </row>
    <row r="40">
      <c r="A40" s="13" t="inlineStr">
        <is>
          <t>billing_date</t>
        </is>
      </c>
      <c r="B40" s="14" t="inlineStr">
        <is>
          <t>DATE</t>
        </is>
      </c>
      <c r="C40" s="15" t="inlineStr">
        <is>
          <t>safe_cast_date(BillingDate)</t>
        </is>
      </c>
      <c r="D40" s="19" t="inlineStr"/>
      <c r="E40" s="19" t="inlineStr"/>
      <c r="F40" s="19" t="inlineStr"/>
      <c r="G40" s="19" t="inlineStr"/>
    </row>
    <row r="41">
      <c r="A41" s="13" t="inlineStr">
        <is>
          <t>sales_org</t>
        </is>
      </c>
      <c r="B41" s="14" t="inlineStr">
        <is>
          <t>STRING</t>
        </is>
      </c>
      <c r="C41" s="15">
        <f> SalesOrg</f>
        <v/>
      </c>
      <c r="D41" s="19" t="inlineStr"/>
      <c r="E41" s="19" t="inlineStr"/>
      <c r="F41" s="19" t="inlineStr"/>
      <c r="G41" s="19" t="inlineStr"/>
    </row>
    <row r="42">
      <c r="A42" s="13" t="inlineStr">
        <is>
          <t>division</t>
        </is>
      </c>
      <c r="B42" s="14" t="inlineStr">
        <is>
          <t>STRING</t>
        </is>
      </c>
      <c r="C42" s="15">
        <f> Division</f>
        <v/>
      </c>
      <c r="D42" s="19" t="inlineStr"/>
      <c r="E42" s="19" t="inlineStr"/>
      <c r="F42" s="19" t="inlineStr"/>
      <c r="G42" s="19" t="inlineStr"/>
    </row>
    <row r="43">
      <c r="A43" s="13" t="inlineStr">
        <is>
          <t>sold_to_party</t>
        </is>
      </c>
      <c r="B43" s="14" t="inlineStr">
        <is>
          <t>STRING</t>
        </is>
      </c>
      <c r="C43" s="15">
        <f> SoldToParty (keep zeros)</f>
        <v/>
      </c>
      <c r="D43" s="19" t="inlineStr"/>
      <c r="E43" s="19" t="inlineStr"/>
      <c r="F43" s="19" t="inlineStr"/>
      <c r="G43" s="19" t="inlineStr"/>
    </row>
    <row r="44">
      <c r="A44" s="13" t="inlineStr">
        <is>
          <t>net_value_header</t>
        </is>
      </c>
      <c r="B44" s="14" t="inlineStr">
        <is>
          <t>DECIMAL</t>
        </is>
      </c>
      <c r="C44" s="15" t="inlineStr">
        <is>
          <t>safe_cast_decimal(NetValueHeader) — trailing minus!</t>
        </is>
      </c>
      <c r="D44" s="19" t="inlineStr"/>
      <c r="E44" s="19" t="inlineStr"/>
      <c r="F44" s="19" t="inlineStr"/>
      <c r="G44" s="19" t="inlineStr"/>
    </row>
    <row r="45">
      <c r="A45" s="13" t="inlineStr">
        <is>
          <t>currency</t>
        </is>
      </c>
      <c r="B45" s="14" t="inlineStr">
        <is>
          <t>STRING</t>
        </is>
      </c>
      <c r="C45" s="15">
        <f> Currency</f>
        <v/>
      </c>
      <c r="D45" s="19" t="inlineStr"/>
      <c r="E45" s="19" t="inlineStr"/>
      <c r="F45" s="19" t="inlineStr"/>
      <c r="G45" s="19" t="inlineStr"/>
    </row>
    <row r="46">
      <c r="A46" s="13" t="inlineStr">
        <is>
          <t>net_value_item</t>
        </is>
      </c>
      <c r="B46" s="14" t="inlineStr">
        <is>
          <t>DECIMAL</t>
        </is>
      </c>
      <c r="C46" s="15" t="inlineStr">
        <is>
          <t>safe_cast_decimal(NetValueItem)</t>
        </is>
      </c>
      <c r="D46" s="19" t="inlineStr"/>
      <c r="E46" s="19" t="inlineStr"/>
      <c r="F46" s="19" t="inlineStr"/>
      <c r="G46" s="19" t="inlineStr"/>
    </row>
    <row r="47">
      <c r="A47" s="13" t="inlineStr">
        <is>
          <t>tax_amount</t>
        </is>
      </c>
      <c r="B47" s="14" t="inlineStr">
        <is>
          <t>DECIMAL</t>
        </is>
      </c>
      <c r="C47" s="15" t="inlineStr">
        <is>
          <t>safe_cast_decimal(TaxAmount)</t>
        </is>
      </c>
      <c r="D47" s="19" t="inlineStr"/>
      <c r="E47" s="19" t="inlineStr"/>
      <c r="F47" s="19" t="inlineStr"/>
      <c r="G47" s="19" t="inlineStr"/>
    </row>
    <row r="48">
      <c r="A48" s="13" t="inlineStr">
        <is>
          <t>billed_qty</t>
        </is>
      </c>
      <c r="B48" s="14" t="inlineStr">
        <is>
          <t>DECIMAL</t>
        </is>
      </c>
      <c r="C48" s="15" t="inlineStr">
        <is>
          <t>safe_cast_decimal(BilledQty)</t>
        </is>
      </c>
      <c r="D48" s="19" t="inlineStr"/>
      <c r="E48" s="19" t="inlineStr"/>
      <c r="F48" s="19" t="inlineStr"/>
      <c r="G48" s="19" t="inlineStr"/>
    </row>
    <row r="49">
      <c r="A49" s="13" t="inlineStr">
        <is>
          <t>material</t>
        </is>
      </c>
      <c r="B49" s="14" t="inlineStr">
        <is>
          <t>STRING</t>
        </is>
      </c>
      <c r="C49" s="15">
        <f> Material (keep 18-char zeros)</f>
        <v/>
      </c>
      <c r="D49" s="19" t="inlineStr"/>
      <c r="E49" s="19" t="inlineStr"/>
      <c r="F49" s="19" t="inlineStr"/>
      <c r="G49" s="19" t="inlineStr"/>
    </row>
    <row r="50">
      <c r="A50" s="13" t="inlineStr">
        <is>
          <t>item_description</t>
        </is>
      </c>
      <c r="B50" s="14" t="inlineStr">
        <is>
          <t>STRING</t>
        </is>
      </c>
      <c r="C50" s="15">
        <f> ItemDescription</f>
        <v/>
      </c>
      <c r="D50" s="19" t="inlineStr"/>
      <c r="E50" s="19" t="inlineStr"/>
      <c r="F50" s="19" t="inlineStr"/>
      <c r="G50" s="19" t="inlineStr"/>
    </row>
    <row r="51">
      <c r="A51" s="13" t="inlineStr">
        <is>
          <t>plant</t>
        </is>
      </c>
      <c r="B51" s="14" t="inlineStr">
        <is>
          <t>STRING</t>
        </is>
      </c>
      <c r="C51" s="15">
        <f> Plant</f>
        <v/>
      </c>
      <c r="D51" s="19" t="inlineStr"/>
      <c r="E51" s="19" t="inlineStr"/>
      <c r="F51" s="19" t="inlineStr"/>
      <c r="G51" s="19" t="inlineStr"/>
    </row>
    <row r="52">
      <c r="A52" s="13" t="inlineStr">
        <is>
          <t>material_group</t>
        </is>
      </c>
      <c r="B52" s="14" t="inlineStr">
        <is>
          <t>STRING</t>
        </is>
      </c>
      <c r="C52" s="15">
        <f> MaterialGroup</f>
        <v/>
      </c>
      <c r="D52" s="19" t="inlineStr"/>
      <c r="E52" s="19" t="inlineStr"/>
      <c r="F52" s="19" t="inlineStr"/>
      <c r="G52" s="19" t="inlineStr"/>
    </row>
    <row r="53">
      <c r="A53" s="13" t="inlineStr">
        <is>
          <t>batch</t>
        </is>
      </c>
      <c r="B53" s="14" t="inlineStr">
        <is>
          <t>STRING</t>
        </is>
      </c>
      <c r="C53" s="15">
        <f> Batch</f>
        <v/>
      </c>
      <c r="D53" s="19" t="inlineStr"/>
      <c r="E53" s="19" t="inlineStr"/>
      <c r="F53" s="19" t="inlineStr"/>
      <c r="G53" s="19" t="inlineStr"/>
    </row>
    <row r="54">
      <c r="A54" s="13" t="inlineStr">
        <is>
          <t>sales_order</t>
        </is>
      </c>
      <c r="B54" s="14" t="inlineStr">
        <is>
          <t>STRING</t>
        </is>
      </c>
      <c r="C54" s="15">
        <f> SalesOrder</f>
        <v/>
      </c>
      <c r="D54" s="19" t="inlineStr"/>
      <c r="E54" s="19" t="inlineStr"/>
      <c r="F54" s="19" t="inlineStr"/>
      <c r="G54" s="19" t="inlineStr"/>
    </row>
    <row r="55">
      <c r="A55" s="13" t="inlineStr">
        <is>
          <t>seller_partner</t>
        </is>
      </c>
      <c r="B55" s="14" t="inlineStr">
        <is>
          <t>STRING</t>
        </is>
      </c>
      <c r="C55" s="15">
        <f> SellerPartner</f>
        <v/>
      </c>
      <c r="D55" s="19" t="inlineStr"/>
      <c r="E55" s="19" t="inlineStr"/>
      <c r="F55" s="19" t="inlineStr"/>
      <c r="G55" s="19" t="inlineStr"/>
    </row>
    <row r="56">
      <c r="A56" s="13" t="inlineStr">
        <is>
          <t>cancelled_billing</t>
        </is>
      </c>
      <c r="B56" s="14" t="inlineStr">
        <is>
          <t>STRING</t>
        </is>
      </c>
      <c r="C56" s="15">
        <f> CancelledBilling</f>
        <v/>
      </c>
      <c r="D56" s="19" t="inlineStr"/>
      <c r="E56" s="19" t="inlineStr"/>
      <c r="F56" s="19" t="inlineStr"/>
      <c r="G56" s="19" t="inlineStr"/>
    </row>
    <row r="57">
      <c r="A57" s="13" t="inlineStr">
        <is>
          <t>invoice_type</t>
        </is>
      </c>
      <c r="B57" s="14" t="inlineStr">
        <is>
          <t>STRING</t>
        </is>
      </c>
      <c r="C57" s="15" t="inlineStr">
        <is>
          <t>M→'1'(saída), N/O→'0'(entrada)</t>
        </is>
      </c>
      <c r="D57" s="19" t="inlineStr"/>
      <c r="E57" s="19" t="inlineStr"/>
      <c r="F57" s="19" t="inlineStr"/>
      <c r="G57" s="19" t="inlineStr"/>
    </row>
    <row r="58">
      <c r="A58" s="13" t="inlineStr">
        <is>
          <t>invoice_status</t>
        </is>
      </c>
      <c r="B58" s="14" t="inlineStr">
        <is>
          <t>STRING</t>
        </is>
      </c>
      <c r="C58" s="15" t="inlineStr">
        <is>
          <t>Priority: CancelledFlag=X→Cancelada, N/O→Denegada, then config_rfbsk</t>
        </is>
      </c>
      <c r="D58" s="19" t="inlineStr"/>
      <c r="E58" s="19" t="inlineStr"/>
      <c r="F58" s="19" t="inlineStr"/>
      <c r="G58" s="19" t="inlineStr"/>
    </row>
    <row r="59">
      <c r="A59" s="13" t="inlineStr">
        <is>
          <t>invoice_status_id</t>
        </is>
      </c>
      <c r="B59" s="14" t="inlineStr">
        <is>
          <t>STRING</t>
        </is>
      </c>
      <c r="C59" s="15" t="inlineStr">
        <is>
          <t>From brz_config_rfbsk: C→2, A→3</t>
        </is>
      </c>
      <c r="D59" s="19" t="inlineStr"/>
      <c r="E59" s="19" t="inlineStr"/>
      <c r="F59" s="19" t="inlineStr"/>
      <c r="G59" s="19" t="inlineStr"/>
    </row>
    <row r="60">
      <c r="A60" s="13" t="inlineStr">
        <is>
          <t>created_date</t>
        </is>
      </c>
      <c r="B60" s="14" t="inlineStr">
        <is>
          <t>DATE</t>
        </is>
      </c>
      <c r="C60" s="15" t="inlineStr">
        <is>
          <t>safe_cast_date(CreatedDate)</t>
        </is>
      </c>
      <c r="D60" s="19" t="inlineStr"/>
      <c r="E60" s="19" t="inlineStr"/>
      <c r="F60" s="19" t="inlineStr"/>
      <c r="G60" s="19" t="inlineStr"/>
    </row>
    <row r="61">
      <c r="A61" s="13" t="inlineStr">
        <is>
          <t>created_time</t>
        </is>
      </c>
      <c r="B61" s="14" t="inlineStr">
        <is>
          <t>STRING</t>
        </is>
      </c>
      <c r="C61" s="15">
        <f> CreatedTime (keep as HHMMSS)</f>
        <v/>
      </c>
      <c r="D61" s="19" t="inlineStr"/>
      <c r="E61" s="19" t="inlineStr"/>
      <c r="F61" s="19" t="inlineStr"/>
      <c r="G61" s="19" t="inlineStr"/>
    </row>
    <row r="63">
      <c r="A63" s="20" t="inlineStr">
        <is>
          <t>🟢 GOLD — Derive from Silver + JOINs (Seedz API format)</t>
        </is>
      </c>
    </row>
    <row r="64">
      <c r="A64" s="21" t="inlineStr">
        <is>
          <t>Gold/API Field</t>
        </is>
      </c>
      <c r="B64" s="21" t="inlineStr">
        <is>
          <t>Type</t>
        </is>
      </c>
      <c r="C64" s="21" t="inlineStr">
        <is>
          <t>Derivation Rule</t>
        </is>
      </c>
      <c r="D64" s="21" t="inlineStr">
        <is>
          <t>Expected 1</t>
        </is>
      </c>
      <c r="E64" s="21" t="inlineStr">
        <is>
          <t>Expected 2</t>
        </is>
      </c>
      <c r="F64" s="21" t="inlineStr">
        <is>
          <t>Expected 3</t>
        </is>
      </c>
      <c r="G64" s="21" t="inlineStr">
        <is>
          <t>Expected 4</t>
        </is>
      </c>
    </row>
    <row r="65">
      <c r="A65" s="13" t="inlineStr">
        <is>
          <t>identification</t>
        </is>
      </c>
      <c r="B65" s="14" t="inlineStr">
        <is>
          <t>STRING</t>
        </is>
      </c>
      <c r="C65" s="15" t="inlineStr">
        <is>
          <t>rut + '-' + plant (transactional → needs plant)</t>
        </is>
      </c>
      <c r="D65" s="22" t="inlineStr"/>
      <c r="E65" s="22" t="inlineStr"/>
      <c r="F65" s="22" t="inlineStr"/>
      <c r="G65" s="22" t="inlineStr"/>
    </row>
    <row r="66">
      <c r="A66" s="13" t="inlineStr">
        <is>
          <t>id</t>
        </is>
      </c>
      <c r="B66" s="14" t="inlineStr">
        <is>
          <t>STRING</t>
        </is>
      </c>
      <c r="C66" s="15" t="inlineStr">
        <is>
          <t>billing_document + '-' + billing_item</t>
        </is>
      </c>
      <c r="D66" s="22" t="inlineStr"/>
      <c r="E66" s="22" t="inlineStr"/>
      <c r="F66" s="22" t="inlineStr"/>
      <c r="G66" s="22" t="inlineStr"/>
    </row>
    <row r="67">
      <c r="A67" s="13" t="inlineStr">
        <is>
          <t>number</t>
        </is>
      </c>
      <c r="B67" s="14" t="inlineStr">
        <is>
          <t>STRING</t>
        </is>
      </c>
      <c r="C67" s="15">
        <f> billing_document</f>
        <v/>
      </c>
      <c r="D67" s="22" t="inlineStr"/>
      <c r="E67" s="22" t="inlineStr"/>
      <c r="F67" s="22" t="inlineStr"/>
      <c r="G67" s="22" t="inlineStr"/>
    </row>
    <row r="68">
      <c r="A68" s="13" t="inlineStr">
        <is>
          <t>issuedAt</t>
        </is>
      </c>
      <c r="B68" s="14" t="inlineStr">
        <is>
          <t>STRING</t>
        </is>
      </c>
      <c r="C68" s="15" t="inlineStr">
        <is>
          <t>dd-MM-yyyy HH:mm:ss from billing_date</t>
        </is>
      </c>
      <c r="D68" s="22" t="inlineStr"/>
      <c r="E68" s="22" t="inlineStr"/>
      <c r="F68" s="22" t="inlineStr"/>
      <c r="G68" s="22" t="inlineStr"/>
    </row>
    <row r="69">
      <c r="A69" s="13" t="inlineStr">
        <is>
          <t>createdAt</t>
        </is>
      </c>
      <c r="B69" s="14" t="inlineStr">
        <is>
          <t>STRING</t>
        </is>
      </c>
      <c r="C69" s="15" t="inlineStr">
        <is>
          <t>dd-MM-yyyy HH:mm:ss from created_date + created_time</t>
        </is>
      </c>
      <c r="D69" s="22" t="inlineStr"/>
      <c r="E69" s="22" t="inlineStr"/>
      <c r="F69" s="22" t="inlineStr"/>
      <c r="G69" s="22" t="inlineStr"/>
    </row>
    <row r="70">
      <c r="A70" s="13" t="inlineStr">
        <is>
          <t>updatedAt</t>
        </is>
      </c>
      <c r="B70" s="14" t="inlineStr">
        <is>
          <t>STRING</t>
        </is>
      </c>
      <c r="C70" s="15" t="inlineStr">
        <is>
          <t>Always current_timestamp()</t>
        </is>
      </c>
      <c r="D70" s="22" t="inlineStr"/>
      <c r="E70" s="22" t="inlineStr"/>
      <c r="F70" s="22" t="inlineStr"/>
      <c r="G70" s="22" t="inlineStr"/>
    </row>
    <row r="71">
      <c r="A71" s="13" t="inlineStr">
        <is>
          <t>type</t>
        </is>
      </c>
      <c r="B71" s="14" t="inlineStr">
        <is>
          <t>STRING</t>
        </is>
      </c>
      <c r="C71" s="15">
        <f> invoice_type</f>
        <v/>
      </c>
      <c r="D71" s="22" t="inlineStr"/>
      <c r="E71" s="22" t="inlineStr"/>
      <c r="F71" s="22" t="inlineStr"/>
      <c r="G71" s="22" t="inlineStr"/>
    </row>
    <row r="72">
      <c r="A72" s="13" t="inlineStr">
        <is>
          <t>status</t>
        </is>
      </c>
      <c r="B72" s="14" t="inlineStr">
        <is>
          <t>STRING</t>
        </is>
      </c>
      <c r="C72" s="15">
        <f> invoice_status</f>
        <v/>
      </c>
      <c r="D72" s="22" t="inlineStr"/>
      <c r="E72" s="22" t="inlineStr"/>
      <c r="F72" s="22" t="inlineStr"/>
      <c r="G72" s="22" t="inlineStr"/>
    </row>
    <row r="73">
      <c r="A73" s="13" t="inlineStr">
        <is>
          <t>statusId</t>
        </is>
      </c>
      <c r="B73" s="14" t="inlineStr">
        <is>
          <t>STRING</t>
        </is>
      </c>
      <c r="C73" s="15">
        <f> invoice_status_id</f>
        <v/>
      </c>
      <c r="D73" s="22" t="inlineStr"/>
      <c r="E73" s="22" t="inlineStr"/>
      <c r="F73" s="22" t="inlineStr"/>
      <c r="G73" s="22" t="inlineStr"/>
    </row>
    <row r="74">
      <c r="A74" s="13" t="inlineStr">
        <is>
          <t>clientId</t>
        </is>
      </c>
      <c r="B74" s="14" t="inlineStr">
        <is>
          <t>STRING</t>
        </is>
      </c>
      <c r="C74" s="15">
        <f> sold_to_party</f>
        <v/>
      </c>
      <c r="D74" s="22" t="inlineStr"/>
      <c r="E74" s="22" t="inlineStr"/>
      <c r="F74" s="22" t="inlineStr"/>
      <c r="G74" s="22" t="inlineStr"/>
    </row>
    <row r="75">
      <c r="A75" s="13" t="inlineStr">
        <is>
          <t>clientDocument</t>
        </is>
      </c>
      <c r="B75" s="14" t="inlineStr">
        <is>
          <t>STRING</t>
        </is>
      </c>
      <c r="C75" s="15" t="inlineStr">
        <is>
          <t>JOIN customer → tax_id</t>
        </is>
      </c>
      <c r="D75" s="22" t="inlineStr"/>
      <c r="E75" s="22" t="inlineStr"/>
      <c r="F75" s="22" t="inlineStr"/>
      <c r="G75" s="22" t="inlineStr"/>
    </row>
    <row r="76">
      <c r="A76" s="13" t="inlineStr">
        <is>
          <t>orderId</t>
        </is>
      </c>
      <c r="B76" s="14" t="inlineStr">
        <is>
          <t>STRING</t>
        </is>
      </c>
      <c r="C76" s="15">
        <f> sales_order</f>
        <v/>
      </c>
      <c r="D76" s="22" t="inlineStr"/>
      <c r="E76" s="22" t="inlineStr"/>
      <c r="F76" s="22" t="inlineStr"/>
      <c r="G76" s="22" t="inlineStr"/>
    </row>
    <row r="77">
      <c r="A77" s="13" t="inlineStr">
        <is>
          <t>sellerIdentification</t>
        </is>
      </c>
      <c r="B77" s="14" t="inlineStr">
        <is>
          <t>STRING</t>
        </is>
      </c>
      <c r="C77" s="15" t="inlineStr">
        <is>
          <t>JOIN seller → document (digits only)</t>
        </is>
      </c>
      <c r="D77" s="22" t="inlineStr"/>
      <c r="E77" s="22" t="inlineStr"/>
      <c r="F77" s="22" t="inlineStr"/>
      <c r="G77" s="22" t="inlineStr"/>
    </row>
    <row r="78">
      <c r="A78" s="13" t="inlineStr">
        <is>
          <t>parentInvoiceId</t>
        </is>
      </c>
      <c r="B78" s="14" t="inlineStr">
        <is>
          <t>STRING</t>
        </is>
      </c>
      <c r="C78" s="15">
        <f> cancelled_billing. Empty if not credit memo</f>
        <v/>
      </c>
      <c r="D78" s="22" t="inlineStr"/>
      <c r="E78" s="22" t="inlineStr"/>
      <c r="F78" s="22" t="inlineStr"/>
      <c r="G78" s="22" t="inlineStr"/>
    </row>
    <row r="79">
      <c r="A79" s="13" t="inlineStr">
        <is>
          <t>itemSku</t>
        </is>
      </c>
      <c r="B79" s="14" t="inlineStr">
        <is>
          <t>STRING</t>
        </is>
      </c>
      <c r="C79" s="15">
        <f> material</f>
        <v/>
      </c>
      <c r="D79" s="22" t="inlineStr"/>
      <c r="E79" s="22" t="inlineStr"/>
      <c r="F79" s="22" t="inlineStr"/>
      <c r="G79" s="22" t="inlineStr"/>
    </row>
    <row r="80">
      <c r="A80" s="13" t="inlineStr">
        <is>
          <t>itemDescription</t>
        </is>
      </c>
      <c r="B80" s="14" t="inlineStr">
        <is>
          <t>STRING</t>
        </is>
      </c>
      <c r="C80" s="15">
        <f> item_description</f>
        <v/>
      </c>
      <c r="D80" s="22" t="inlineStr"/>
      <c r="E80" s="22" t="inlineStr"/>
      <c r="F80" s="22" t="inlineStr"/>
      <c r="G80" s="22" t="inlineStr"/>
    </row>
    <row r="81">
      <c r="A81" s="13" t="inlineStr">
        <is>
          <t>itemMeasureUnit</t>
        </is>
      </c>
      <c r="B81" s="14" t="inlineStr">
        <is>
          <t>STRING</t>
        </is>
      </c>
      <c r="C81" s="15" t="inlineStr">
        <is>
          <t>Always 'UN'</t>
        </is>
      </c>
      <c r="D81" s="22" t="inlineStr"/>
      <c r="E81" s="22" t="inlineStr"/>
      <c r="F81" s="22" t="inlineStr"/>
      <c r="G81" s="22" t="inlineStr"/>
    </row>
    <row r="82">
      <c r="A82" s="13" t="inlineStr">
        <is>
          <t>itemQuantity</t>
        </is>
      </c>
      <c r="B82" s="14" t="inlineStr">
        <is>
          <t>STRING</t>
        </is>
      </c>
      <c r="C82" s="15">
        <f> billed_qty as STRING</f>
        <v/>
      </c>
      <c r="D82" s="22" t="inlineStr"/>
      <c r="E82" s="22" t="inlineStr"/>
      <c r="F82" s="22" t="inlineStr"/>
      <c r="G82" s="22" t="inlineStr"/>
    </row>
    <row r="83">
      <c r="A83" s="13" t="inlineStr">
        <is>
          <t>itemUnitValue</t>
        </is>
      </c>
      <c r="B83" s="14" t="inlineStr">
        <is>
          <t>STRING</t>
        </is>
      </c>
      <c r="C83" s="15">
        <f> net_value_item as STRING</f>
        <v/>
      </c>
      <c r="D83" s="22" t="inlineStr"/>
      <c r="E83" s="22" t="inlineStr"/>
      <c r="F83" s="22" t="inlineStr"/>
      <c r="G83" s="22" t="inlineStr"/>
    </row>
    <row r="84">
      <c r="A84" s="13" t="inlineStr">
        <is>
          <t>itemTotalValue</t>
        </is>
      </c>
      <c r="B84" s="14" t="inlineStr">
        <is>
          <t>STRING</t>
        </is>
      </c>
      <c r="C84" s="15">
        <f> net_value_item as STRING</f>
        <v/>
      </c>
      <c r="D84" s="22" t="inlineStr"/>
      <c r="E84" s="22" t="inlineStr"/>
      <c r="F84" s="22" t="inlineStr"/>
      <c r="G84" s="22" t="inlineStr"/>
    </row>
    <row r="85">
      <c r="A85" s="13" t="inlineStr">
        <is>
          <t>category</t>
        </is>
      </c>
      <c r="B85" s="14" t="inlineStr">
        <is>
          <t>STRING</t>
        </is>
      </c>
      <c r="C85" s="15">
        <f> material_group</f>
        <v/>
      </c>
      <c r="D85" s="22" t="inlineStr"/>
      <c r="E85" s="22" t="inlineStr"/>
      <c r="F85" s="22" t="inlineStr"/>
      <c r="G85" s="22" t="inlineStr"/>
    </row>
  </sheetData>
  <mergeCells count="5">
    <mergeCell ref="A63:C63"/>
    <mergeCell ref="A2:H2"/>
    <mergeCell ref="A1:H1"/>
    <mergeCell ref="A35:C35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Golden Fixture: Seller</t>
        </is>
      </c>
    </row>
    <row r="2">
      <c r="A2" s="2" t="inlineStr">
        <is>
          <t>Records to extract from SE16: Active seller | Seller with spaces in name</t>
        </is>
      </c>
    </row>
    <row r="4">
      <c r="A4" s="11" t="inlineStr">
        <is>
          <t>🔵 BRONZE — Fill from SE16 (all STRING)</t>
        </is>
      </c>
    </row>
    <row r="5">
      <c r="A5" s="12" t="inlineStr">
        <is>
          <t>Bronze Field</t>
        </is>
      </c>
      <c r="B5" s="12" t="inlineStr">
        <is>
          <t>SAP Table.Field</t>
        </is>
      </c>
      <c r="C5" s="12" t="inlineStr">
        <is>
          <t>Notes/Format</t>
        </is>
      </c>
      <c r="D5" s="12" t="inlineStr">
        <is>
          <t>Active seller</t>
        </is>
      </c>
      <c r="E5" s="12" t="inlineStr">
        <is>
          <t>Seller with spaces in name</t>
        </is>
      </c>
    </row>
    <row r="6">
      <c r="A6" s="13" t="inlineStr">
        <is>
          <t>SellerPartner</t>
        </is>
      </c>
      <c r="B6" s="14" t="inlineStr">
        <is>
          <t>VBPA/Custom</t>
        </is>
      </c>
      <c r="C6" s="15" t="inlineStr">
        <is>
          <t>10-char</t>
        </is>
      </c>
      <c r="D6" s="16" t="inlineStr"/>
      <c r="E6" s="16" t="inlineStr"/>
    </row>
    <row r="7">
      <c r="A7" s="13" t="inlineStr">
        <is>
          <t>Document</t>
        </is>
      </c>
      <c r="B7" s="14" t="inlineStr">
        <is>
          <t>Custom.STCD1</t>
        </is>
      </c>
      <c r="C7" s="15" t="inlineStr">
        <is>
          <t>RUT of seller</t>
        </is>
      </c>
      <c r="D7" s="16" t="inlineStr"/>
      <c r="E7" s="16" t="inlineStr"/>
    </row>
    <row r="8">
      <c r="A8" s="13" t="inlineStr">
        <is>
          <t>SellerName</t>
        </is>
      </c>
      <c r="B8" s="14" t="inlineStr">
        <is>
          <t>Custom.NAME</t>
        </is>
      </c>
      <c r="C8" s="15" t="inlineStr">
        <is>
          <t>May have leading/trailing spaces</t>
        </is>
      </c>
      <c r="D8" s="16" t="inlineStr"/>
      <c r="E8" s="16" t="inlineStr"/>
    </row>
    <row r="9">
      <c r="A9" s="13" t="inlineStr">
        <is>
          <t>Phone</t>
        </is>
      </c>
      <c r="B9" s="14" t="inlineStr">
        <is>
          <t>Custom.PHONE</t>
        </is>
      </c>
      <c r="C9" s="15" t="inlineStr"/>
      <c r="D9" s="16" t="inlineStr"/>
      <c r="E9" s="16" t="inlineStr"/>
    </row>
    <row r="10">
      <c r="A10" s="13" t="inlineStr">
        <is>
          <t>Email</t>
        </is>
      </c>
      <c r="B10" s="14" t="inlineStr">
        <is>
          <t>Custom.EMAIL</t>
        </is>
      </c>
      <c r="C10" s="15" t="inlineStr"/>
      <c r="D10" s="16" t="inlineStr"/>
      <c r="E10" s="16" t="inlineStr"/>
    </row>
    <row r="11">
      <c r="A11" s="13" t="inlineStr">
        <is>
          <t>CreatedDate</t>
        </is>
      </c>
      <c r="B11" s="14" t="inlineStr">
        <is>
          <t>Custom.ERDAT</t>
        </is>
      </c>
      <c r="C11" s="15" t="inlineStr">
        <is>
          <t>YYYYMMDD</t>
        </is>
      </c>
      <c r="D11" s="16" t="inlineStr"/>
      <c r="E11" s="16" t="inlineStr"/>
    </row>
    <row r="13">
      <c r="A13" s="17" t="inlineStr">
        <is>
          <t>🟡 SILVER — Derive using rules (or ask Claude)</t>
        </is>
      </c>
    </row>
    <row r="14">
      <c r="A14" s="18" t="inlineStr">
        <is>
          <t>Silver Field</t>
        </is>
      </c>
      <c r="B14" s="18" t="inlineStr">
        <is>
          <t>Type</t>
        </is>
      </c>
      <c r="C14" s="18" t="inlineStr">
        <is>
          <t>Transformation Rule</t>
        </is>
      </c>
      <c r="D14" s="18" t="inlineStr">
        <is>
          <t>Expected 1</t>
        </is>
      </c>
      <c r="E14" s="18" t="inlineStr">
        <is>
          <t>Expected 2</t>
        </is>
      </c>
    </row>
    <row r="15">
      <c r="A15" s="13" t="inlineStr">
        <is>
          <t>seller_partner</t>
        </is>
      </c>
      <c r="B15" s="14" t="inlineStr">
        <is>
          <t>STRING</t>
        </is>
      </c>
      <c r="C15" s="15">
        <f> SellerPartner</f>
        <v/>
      </c>
      <c r="D15" s="19" t="inlineStr"/>
      <c r="E15" s="19" t="inlineStr"/>
    </row>
    <row r="16">
      <c r="A16" s="13" t="inlineStr">
        <is>
          <t>document</t>
        </is>
      </c>
      <c r="B16" s="14" t="inlineStr">
        <is>
          <t>STRING</t>
        </is>
      </c>
      <c r="C16" s="15" t="inlineStr">
        <is>
          <t>REGEXP_REPLACE(Document, '[^0-9]', '')</t>
        </is>
      </c>
      <c r="D16" s="19" t="inlineStr"/>
      <c r="E16" s="19" t="inlineStr"/>
    </row>
    <row r="17">
      <c r="A17" s="13" t="inlineStr">
        <is>
          <t>seller_name</t>
        </is>
      </c>
      <c r="B17" s="14" t="inlineStr">
        <is>
          <t>STRING</t>
        </is>
      </c>
      <c r="C17" s="15" t="inlineStr">
        <is>
          <t>TRIM(SellerName)</t>
        </is>
      </c>
      <c r="D17" s="19" t="inlineStr"/>
      <c r="E17" s="19" t="inlineStr"/>
    </row>
    <row r="18">
      <c r="A18" s="13" t="inlineStr">
        <is>
          <t>phone</t>
        </is>
      </c>
      <c r="B18" s="14" t="inlineStr">
        <is>
          <t>STRING</t>
        </is>
      </c>
      <c r="C18" s="15" t="inlineStr">
        <is>
          <t>REGEXP_REPLACE(Phone, '[^0-9]', '')</t>
        </is>
      </c>
      <c r="D18" s="19" t="inlineStr"/>
      <c r="E18" s="19" t="inlineStr"/>
    </row>
    <row r="19">
      <c r="A19" s="13" t="inlineStr">
        <is>
          <t>email</t>
        </is>
      </c>
      <c r="B19" s="14" t="inlineStr">
        <is>
          <t>STRING</t>
        </is>
      </c>
      <c r="C19" s="15">
        <f> Email</f>
        <v/>
      </c>
      <c r="D19" s="19" t="inlineStr"/>
      <c r="E19" s="19" t="inlineStr"/>
    </row>
    <row r="20">
      <c r="A20" s="13" t="inlineStr">
        <is>
          <t>created_date</t>
        </is>
      </c>
      <c r="B20" s="14" t="inlineStr">
        <is>
          <t>DATE</t>
        </is>
      </c>
      <c r="C20" s="15" t="inlineStr">
        <is>
          <t>safe_cast_date(CreatedDate)</t>
        </is>
      </c>
      <c r="D20" s="19" t="inlineStr"/>
      <c r="E20" s="19" t="inlineStr"/>
    </row>
    <row r="22">
      <c r="A22" s="20" t="inlineStr">
        <is>
          <t>🟢 GOLD — Derive from Silver + JOINs (Seedz API format)</t>
        </is>
      </c>
    </row>
    <row r="23">
      <c r="A23" s="21" t="inlineStr">
        <is>
          <t>Gold/API Field</t>
        </is>
      </c>
      <c r="B23" s="21" t="inlineStr">
        <is>
          <t>Type</t>
        </is>
      </c>
      <c r="C23" s="21" t="inlineStr">
        <is>
          <t>Derivation Rule</t>
        </is>
      </c>
      <c r="D23" s="21" t="inlineStr">
        <is>
          <t>Expected 1</t>
        </is>
      </c>
      <c r="E23" s="21" t="inlineStr">
        <is>
          <t>Expected 2</t>
        </is>
      </c>
    </row>
    <row r="24">
      <c r="A24" s="13" t="inlineStr">
        <is>
          <t>identification</t>
        </is>
      </c>
      <c r="B24" s="14" t="inlineStr">
        <is>
          <t>STRING</t>
        </is>
      </c>
      <c r="C24" s="15" t="inlineStr">
        <is>
          <t>config_company.rut (master data)</t>
        </is>
      </c>
      <c r="D24" s="22" t="inlineStr"/>
      <c r="E24" s="22" t="inlineStr"/>
    </row>
    <row r="25">
      <c r="A25" s="13" t="inlineStr">
        <is>
          <t>id</t>
        </is>
      </c>
      <c r="B25" s="14" t="inlineStr">
        <is>
          <t>STRING</t>
        </is>
      </c>
      <c r="C25" s="15">
        <f> seller_partner</f>
        <v/>
      </c>
      <c r="D25" s="22" t="inlineStr"/>
      <c r="E25" s="22" t="inlineStr"/>
    </row>
    <row r="26">
      <c r="A26" s="13" t="inlineStr">
        <is>
          <t>name</t>
        </is>
      </c>
      <c r="B26" s="14" t="inlineStr">
        <is>
          <t>STRING</t>
        </is>
      </c>
      <c r="C26" s="15">
        <f> seller_name</f>
        <v/>
      </c>
      <c r="D26" s="22" t="inlineStr"/>
      <c r="E26" s="22" t="inlineStr"/>
    </row>
    <row r="27">
      <c r="A27" s="13" t="inlineStr">
        <is>
          <t>sellerIdentification</t>
        </is>
      </c>
      <c r="B27" s="14" t="inlineStr">
        <is>
          <t>STRING</t>
        </is>
      </c>
      <c r="C27" s="15">
        <f> document</f>
        <v/>
      </c>
      <c r="D27" s="22" t="inlineStr"/>
      <c r="E27" s="22" t="inlineStr"/>
    </row>
    <row r="28">
      <c r="A28" s="13" t="inlineStr">
        <is>
          <t>phone</t>
        </is>
      </c>
      <c r="B28" s="14" t="inlineStr">
        <is>
          <t>STRING</t>
        </is>
      </c>
      <c r="C28" s="15">
        <f> phone</f>
        <v/>
      </c>
      <c r="D28" s="22" t="inlineStr"/>
      <c r="E28" s="22" t="inlineStr"/>
    </row>
    <row r="29">
      <c r="A29" s="13" t="inlineStr">
        <is>
          <t>email</t>
        </is>
      </c>
      <c r="B29" s="14" t="inlineStr">
        <is>
          <t>STRING</t>
        </is>
      </c>
      <c r="C29" s="15">
        <f> email. NULL → ''</f>
        <v/>
      </c>
      <c r="D29" s="22" t="inlineStr"/>
      <c r="E29" s="22" t="inlineStr"/>
    </row>
    <row r="30">
      <c r="A30" s="13" t="inlineStr">
        <is>
          <t>createdAt</t>
        </is>
      </c>
      <c r="B30" s="14" t="inlineStr">
        <is>
          <t>STRING</t>
        </is>
      </c>
      <c r="C30" s="15" t="inlineStr">
        <is>
          <t>dd-MM-yyyy HH:mm:ss</t>
        </is>
      </c>
      <c r="D30" s="22" t="inlineStr"/>
      <c r="E30" s="22" t="inlineStr"/>
    </row>
    <row r="31">
      <c r="A31" s="13" t="inlineStr">
        <is>
          <t>updatedAt</t>
        </is>
      </c>
      <c r="B31" s="14" t="inlineStr">
        <is>
          <t>STRING</t>
        </is>
      </c>
      <c r="C31" s="15" t="inlineStr">
        <is>
          <t>current_timestamp()</t>
        </is>
      </c>
      <c r="D31" s="22" t="inlineStr"/>
      <c r="E31" s="22" t="inlineStr"/>
    </row>
  </sheetData>
  <mergeCells count="5">
    <mergeCell ref="A13:C13"/>
    <mergeCell ref="A2:H2"/>
    <mergeCell ref="A22:C22"/>
    <mergeCell ref="A1:H1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95C"/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Golden Fixture: Equipment</t>
        </is>
      </c>
    </row>
    <row r="2">
      <c r="A2" s="2" t="inlineStr">
        <is>
          <t>Records to extract from SE16: Machine with VIN | Machine without serial</t>
        </is>
      </c>
    </row>
    <row r="4">
      <c r="A4" s="11" t="inlineStr">
        <is>
          <t>🔵 BRONZE — Fill from SE16 (all STRING)</t>
        </is>
      </c>
    </row>
    <row r="5">
      <c r="A5" s="12" t="inlineStr">
        <is>
          <t>Bronze Field</t>
        </is>
      </c>
      <c r="B5" s="12" t="inlineStr">
        <is>
          <t>SAP Table.Field</t>
        </is>
      </c>
      <c r="C5" s="12" t="inlineStr">
        <is>
          <t>Notes/Format</t>
        </is>
      </c>
      <c r="D5" s="12" t="inlineStr">
        <is>
          <t>Machine with VIN</t>
        </is>
      </c>
      <c r="E5" s="12" t="inlineStr">
        <is>
          <t>Machine without serial</t>
        </is>
      </c>
    </row>
    <row r="6">
      <c r="A6" s="13" t="inlineStr">
        <is>
          <t>EquipmentNumber</t>
        </is>
      </c>
      <c r="B6" s="14" t="inlineStr">
        <is>
          <t>EQUI.EQUNR</t>
        </is>
      </c>
      <c r="C6" s="15" t="inlineStr"/>
      <c r="D6" s="16" t="inlineStr"/>
      <c r="E6" s="16" t="inlineStr"/>
    </row>
    <row r="7">
      <c r="A7" s="13" t="inlineStr">
        <is>
          <t>SerialNumber</t>
        </is>
      </c>
      <c r="B7" s="14" t="inlineStr">
        <is>
          <t>EQUI.SERNR</t>
        </is>
      </c>
      <c r="C7" s="15" t="inlineStr">
        <is>
          <t>This IS the VIN/chassi at SALFA</t>
        </is>
      </c>
      <c r="D7" s="16" t="inlineStr"/>
      <c r="E7" s="16" t="inlineStr"/>
    </row>
    <row r="8">
      <c r="A8" s="13" t="inlineStr">
        <is>
          <t>Material</t>
        </is>
      </c>
      <c r="B8" s="14" t="inlineStr">
        <is>
          <t>EQUI.MATNR</t>
        </is>
      </c>
      <c r="C8" s="15" t="inlineStr">
        <is>
          <t>18-char</t>
        </is>
      </c>
      <c r="D8" s="16" t="inlineStr"/>
      <c r="E8" s="16" t="inlineStr"/>
    </row>
    <row r="9">
      <c r="A9" s="13" t="inlineStr">
        <is>
          <t>Manufacturer</t>
        </is>
      </c>
      <c r="B9" s="14" t="inlineStr">
        <is>
          <t>EQUI.HERST</t>
        </is>
      </c>
      <c r="C9" s="15" t="inlineStr"/>
      <c r="D9" s="16" t="inlineStr"/>
      <c r="E9" s="16" t="inlineStr"/>
    </row>
    <row r="10">
      <c r="A10" s="13" t="inlineStr">
        <is>
          <t>ManufacturerModel</t>
        </is>
      </c>
      <c r="B10" s="14" t="inlineStr">
        <is>
          <t>EQUI.TYPBZ</t>
        </is>
      </c>
      <c r="C10" s="15" t="inlineStr">
        <is>
          <t>⚠️ May be empty at SALFA</t>
        </is>
      </c>
      <c r="D10" s="16" t="inlineStr"/>
      <c r="E10" s="16" t="inlineStr"/>
    </row>
    <row r="11">
      <c r="A11" s="13" t="inlineStr">
        <is>
          <t>Plant</t>
        </is>
      </c>
      <c r="B11" s="14" t="inlineStr">
        <is>
          <t>EQUI.SWERK</t>
        </is>
      </c>
      <c r="C11" s="15" t="inlineStr"/>
      <c r="D11" s="16" t="inlineStr"/>
      <c r="E11" s="16" t="inlineStr"/>
    </row>
    <row r="12">
      <c r="A12" s="13" t="inlineStr">
        <is>
          <t>Batch</t>
        </is>
      </c>
      <c r="B12" s="14" t="inlineStr">
        <is>
          <t>EQUI.CHARG</t>
        </is>
      </c>
      <c r="C12" s="15" t="inlineStr">
        <is>
          <t>Links to billing</t>
        </is>
      </c>
      <c r="D12" s="16" t="inlineStr"/>
      <c r="E12" s="16" t="inlineStr"/>
    </row>
    <row r="13">
      <c r="A13" s="13" t="inlineStr">
        <is>
          <t>ConstructionYear</t>
        </is>
      </c>
      <c r="B13" s="14" t="inlineStr">
        <is>
          <t>EQUI.BAUJJ</t>
        </is>
      </c>
      <c r="C13" s="15" t="inlineStr"/>
      <c r="D13" s="16" t="inlineStr"/>
      <c r="E13" s="16" t="inlineStr"/>
    </row>
    <row r="14">
      <c r="A14" s="13" t="inlineStr">
        <is>
          <t>DeletionFlag</t>
        </is>
      </c>
      <c r="B14" s="14" t="inlineStr">
        <is>
          <t>EQUI.LVORM</t>
        </is>
      </c>
      <c r="C14" s="15" t="inlineStr"/>
      <c r="D14" s="16" t="inlineStr"/>
      <c r="E14" s="16" t="inlineStr"/>
    </row>
    <row r="16">
      <c r="A16" s="17" t="inlineStr">
        <is>
          <t>🟡 SILVER — Derive using rules (or ask Claude)</t>
        </is>
      </c>
    </row>
    <row r="17">
      <c r="A17" s="18" t="inlineStr">
        <is>
          <t>Silver Field</t>
        </is>
      </c>
      <c r="B17" s="18" t="inlineStr">
        <is>
          <t>Type</t>
        </is>
      </c>
      <c r="C17" s="18" t="inlineStr">
        <is>
          <t>Transformation Rule</t>
        </is>
      </c>
      <c r="D17" s="18" t="inlineStr">
        <is>
          <t>Expected 1</t>
        </is>
      </c>
      <c r="E17" s="18" t="inlineStr">
        <is>
          <t>Expected 2</t>
        </is>
      </c>
    </row>
    <row r="18">
      <c r="A18" s="13" t="inlineStr">
        <is>
          <t>equipment_number</t>
        </is>
      </c>
      <c r="B18" s="14" t="inlineStr">
        <is>
          <t>STRING</t>
        </is>
      </c>
      <c r="C18" s="15">
        <f> EquipmentNumber</f>
        <v/>
      </c>
      <c r="D18" s="19" t="inlineStr"/>
      <c r="E18" s="19" t="inlineStr"/>
    </row>
    <row r="19">
      <c r="A19" s="13" t="inlineStr">
        <is>
          <t>serial_number</t>
        </is>
      </c>
      <c r="B19" s="14" t="inlineStr">
        <is>
          <t>STRING</t>
        </is>
      </c>
      <c r="C19" s="15">
        <f> SerialNumber (this is VIN!)</f>
        <v/>
      </c>
      <c r="D19" s="19" t="inlineStr"/>
      <c r="E19" s="19" t="inlineStr"/>
    </row>
    <row r="20">
      <c r="A20" s="13" t="inlineStr">
        <is>
          <t>material</t>
        </is>
      </c>
      <c r="B20" s="14" t="inlineStr">
        <is>
          <t>STRING</t>
        </is>
      </c>
      <c r="C20" s="15">
        <f> Material</f>
        <v/>
      </c>
      <c r="D20" s="19" t="inlineStr"/>
      <c r="E20" s="19" t="inlineStr"/>
    </row>
    <row r="21">
      <c r="A21" s="13" t="inlineStr">
        <is>
          <t>manufacturer</t>
        </is>
      </c>
      <c r="B21" s="14" t="inlineStr">
        <is>
          <t>STRING</t>
        </is>
      </c>
      <c r="C21" s="15">
        <f> Manufacturer</f>
        <v/>
      </c>
      <c r="D21" s="19" t="inlineStr"/>
      <c r="E21" s="19" t="inlineStr"/>
    </row>
    <row r="22">
      <c r="A22" s="13" t="inlineStr">
        <is>
          <t>plant</t>
        </is>
      </c>
      <c r="B22" s="14" t="inlineStr">
        <is>
          <t>STRING</t>
        </is>
      </c>
      <c r="C22" s="15">
        <f> Plant</f>
        <v/>
      </c>
      <c r="D22" s="19" t="inlineStr"/>
      <c r="E22" s="19" t="inlineStr"/>
    </row>
    <row r="23">
      <c r="A23" s="13" t="inlineStr">
        <is>
          <t>batch</t>
        </is>
      </c>
      <c r="B23" s="14" t="inlineStr">
        <is>
          <t>STRING</t>
        </is>
      </c>
      <c r="C23" s="15">
        <f> Batch</f>
        <v/>
      </c>
      <c r="D23" s="19" t="inlineStr"/>
      <c r="E23" s="19" t="inlineStr"/>
    </row>
    <row r="24">
      <c r="A24" s="13" t="inlineStr">
        <is>
          <t>construction_year</t>
        </is>
      </c>
      <c r="B24" s="14" t="inlineStr">
        <is>
          <t>STRING</t>
        </is>
      </c>
      <c r="C24" s="15">
        <f> ConstructionYear</f>
        <v/>
      </c>
      <c r="D24" s="19" t="inlineStr"/>
      <c r="E24" s="19" t="inlineStr"/>
    </row>
    <row r="25">
      <c r="A25" s="13" t="inlineStr">
        <is>
          <t>is_deleted</t>
        </is>
      </c>
      <c r="B25" s="14" t="inlineStr">
        <is>
          <t>BOOLEAN</t>
        </is>
      </c>
      <c r="C25" s="15" t="inlineStr">
        <is>
          <t>DeletionFlag='X' → True</t>
        </is>
      </c>
      <c r="D25" s="19" t="inlineStr"/>
      <c r="E25" s="19" t="inlineStr"/>
    </row>
  </sheetData>
  <mergeCells count="4">
    <mergeCell ref="A4:C4"/>
    <mergeCell ref="A2:H2"/>
    <mergeCell ref="A16:C1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2828"/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Golden Fixture: Acct Receivable</t>
        </is>
      </c>
    </row>
    <row r="2">
      <c r="A2" s="2" t="inlineStr">
        <is>
          <t>Records to extract from SE16: Open (not cleared, past due) | Cleared (paid) | Open (not yet due)</t>
        </is>
      </c>
    </row>
    <row r="4">
      <c r="A4" s="11" t="inlineStr">
        <is>
          <t>🔵 BRONZE — Fill from SE16 (all STRING)</t>
        </is>
      </c>
    </row>
    <row r="5">
      <c r="A5" s="12" t="inlineStr">
        <is>
          <t>Bronze Field</t>
        </is>
      </c>
      <c r="B5" s="12" t="inlineStr">
        <is>
          <t>SAP Table.Field</t>
        </is>
      </c>
      <c r="C5" s="12" t="inlineStr">
        <is>
          <t>Notes/Format</t>
        </is>
      </c>
      <c r="D5" s="12" t="inlineStr">
        <is>
          <t>Open (not cleared, past due)</t>
        </is>
      </c>
      <c r="E5" s="12" t="inlineStr">
        <is>
          <t>Cleared (paid)</t>
        </is>
      </c>
      <c r="F5" s="12" t="inlineStr">
        <is>
          <t>Open (not yet due)</t>
        </is>
      </c>
    </row>
    <row r="6">
      <c r="A6" s="13" t="inlineStr">
        <is>
          <t>CompanyCode</t>
        </is>
      </c>
      <c r="B6" s="14" t="inlineStr">
        <is>
          <t>BSID.BUKRS</t>
        </is>
      </c>
      <c r="C6" s="15" t="inlineStr"/>
      <c r="D6" s="16" t="inlineStr"/>
      <c r="E6" s="16" t="inlineStr"/>
      <c r="F6" s="16" t="inlineStr"/>
    </row>
    <row r="7">
      <c r="A7" s="13" t="inlineStr">
        <is>
          <t>Customer</t>
        </is>
      </c>
      <c r="B7" s="14" t="inlineStr">
        <is>
          <t>BSID.KUNNR</t>
        </is>
      </c>
      <c r="C7" s="15" t="inlineStr">
        <is>
          <t>10-char</t>
        </is>
      </c>
      <c r="D7" s="16" t="inlineStr"/>
      <c r="E7" s="16" t="inlineStr"/>
      <c r="F7" s="16" t="inlineStr"/>
    </row>
    <row r="8">
      <c r="A8" s="13" t="inlineStr">
        <is>
          <t>AccountingDoc</t>
        </is>
      </c>
      <c r="B8" s="14" t="inlineStr">
        <is>
          <t>BSID.BELNR</t>
        </is>
      </c>
      <c r="C8" s="15" t="inlineStr"/>
      <c r="D8" s="16" t="inlineStr"/>
      <c r="E8" s="16" t="inlineStr"/>
      <c r="F8" s="16" t="inlineStr"/>
    </row>
    <row r="9">
      <c r="A9" s="13" t="inlineStr">
        <is>
          <t>FiscalYear</t>
        </is>
      </c>
      <c r="B9" s="14" t="inlineStr">
        <is>
          <t>BSID.GJAHR</t>
        </is>
      </c>
      <c r="C9" s="15" t="inlineStr"/>
      <c r="D9" s="16" t="inlineStr"/>
      <c r="E9" s="16" t="inlineStr"/>
      <c r="F9" s="16" t="inlineStr"/>
    </row>
    <row r="10">
      <c r="A10" s="13" t="inlineStr">
        <is>
          <t>LineItem</t>
        </is>
      </c>
      <c r="B10" s="14" t="inlineStr">
        <is>
          <t>BSID.BUZEI</t>
        </is>
      </c>
      <c r="C10" s="15" t="inlineStr"/>
      <c r="D10" s="16" t="inlineStr"/>
      <c r="E10" s="16" t="inlineStr"/>
      <c r="F10" s="16" t="inlineStr"/>
    </row>
    <row r="11">
      <c r="A11" s="13" t="inlineStr">
        <is>
          <t>PostingDate</t>
        </is>
      </c>
      <c r="B11" s="14" t="inlineStr">
        <is>
          <t>BSID.BUDAT</t>
        </is>
      </c>
      <c r="C11" s="15" t="inlineStr">
        <is>
          <t>YYYYMMDD</t>
        </is>
      </c>
      <c r="D11" s="16" t="inlineStr"/>
      <c r="E11" s="16" t="inlineStr"/>
      <c r="F11" s="16" t="inlineStr"/>
    </row>
    <row r="12">
      <c r="A12" s="13" t="inlineStr">
        <is>
          <t>AmountLocalCurrency</t>
        </is>
      </c>
      <c r="B12" s="14" t="inlineStr">
        <is>
          <t>BSID.DMBTR</t>
        </is>
      </c>
      <c r="C12" s="15" t="inlineStr">
        <is>
          <t>⚠️ Trailing minus?</t>
        </is>
      </c>
      <c r="D12" s="16" t="inlineStr"/>
      <c r="E12" s="16" t="inlineStr"/>
      <c r="F12" s="16" t="inlineStr"/>
    </row>
    <row r="13">
      <c r="A13" s="13" t="inlineStr">
        <is>
          <t>BaselinePayDate</t>
        </is>
      </c>
      <c r="B13" s="14" t="inlineStr">
        <is>
          <t>BSID.ZFBDT</t>
        </is>
      </c>
      <c r="C13" s="15" t="inlineStr">
        <is>
          <t>YYYYMMDD</t>
        </is>
      </c>
      <c r="D13" s="16" t="inlineStr"/>
      <c r="E13" s="16" t="inlineStr"/>
      <c r="F13" s="16" t="inlineStr"/>
    </row>
    <row r="14">
      <c r="A14" s="13" t="inlineStr">
        <is>
          <t>PayTermDays1</t>
        </is>
      </c>
      <c r="B14" s="14" t="inlineStr">
        <is>
          <t>BSID.ZBD1T</t>
        </is>
      </c>
      <c r="C14" s="15" t="inlineStr">
        <is>
          <t>Days for due_date calc</t>
        </is>
      </c>
      <c r="D14" s="16" t="inlineStr"/>
      <c r="E14" s="16" t="inlineStr"/>
      <c r="F14" s="16" t="inlineStr"/>
    </row>
    <row r="15">
      <c r="A15" s="13" t="inlineStr">
        <is>
          <t>BillingDocument</t>
        </is>
      </c>
      <c r="B15" s="14" t="inlineStr">
        <is>
          <t>BSID.VBELN</t>
        </is>
      </c>
      <c r="C15" s="15" t="inlineStr">
        <is>
          <t>Linked invoice</t>
        </is>
      </c>
      <c r="D15" s="16" t="inlineStr"/>
      <c r="E15" s="16" t="inlineStr"/>
      <c r="F15" s="16" t="inlineStr"/>
    </row>
    <row r="16">
      <c r="A16" s="13" t="inlineStr">
        <is>
          <t>ClearingDate</t>
        </is>
      </c>
      <c r="B16" s="14" t="inlineStr">
        <is>
          <t>BSAD.AUGDT</t>
        </is>
      </c>
      <c r="C16" s="15" t="inlineStr">
        <is>
          <t>Empty=open, filled=cleared</t>
        </is>
      </c>
      <c r="D16" s="16" t="inlineStr"/>
      <c r="E16" s="16" t="inlineStr"/>
      <c r="F16" s="16" t="inlineStr"/>
    </row>
    <row r="17">
      <c r="A17" s="13" t="inlineStr">
        <is>
          <t>ClearingDoc</t>
        </is>
      </c>
      <c r="B17" s="14" t="inlineStr">
        <is>
          <t>BSAD.AUGBL</t>
        </is>
      </c>
      <c r="C17" s="15" t="inlineStr"/>
      <c r="D17" s="16" t="inlineStr"/>
      <c r="E17" s="16" t="inlineStr"/>
      <c r="F17" s="16" t="inlineStr"/>
    </row>
    <row r="19">
      <c r="A19" s="17" t="inlineStr">
        <is>
          <t>🟡 SILVER — Derive using rules (or ask Claude)</t>
        </is>
      </c>
    </row>
    <row r="20">
      <c r="A20" s="18" t="inlineStr">
        <is>
          <t>Silver Field</t>
        </is>
      </c>
      <c r="B20" s="18" t="inlineStr">
        <is>
          <t>Type</t>
        </is>
      </c>
      <c r="C20" s="18" t="inlineStr">
        <is>
          <t>Transformation Rule</t>
        </is>
      </c>
      <c r="D20" s="18" t="inlineStr">
        <is>
          <t>Expected 1</t>
        </is>
      </c>
      <c r="E20" s="18" t="inlineStr">
        <is>
          <t>Expected 2</t>
        </is>
      </c>
      <c r="F20" s="18" t="inlineStr">
        <is>
          <t>Expected 3</t>
        </is>
      </c>
    </row>
    <row r="21">
      <c r="A21" s="13" t="inlineStr">
        <is>
          <t>company_code</t>
        </is>
      </c>
      <c r="B21" s="14" t="inlineStr">
        <is>
          <t>STRING</t>
        </is>
      </c>
      <c r="C21" s="15">
        <f> CompanyCode</f>
        <v/>
      </c>
      <c r="D21" s="19" t="inlineStr"/>
      <c r="E21" s="19" t="inlineStr"/>
      <c r="F21" s="19" t="inlineStr"/>
    </row>
    <row r="22">
      <c r="A22" s="13" t="inlineStr">
        <is>
          <t>customer</t>
        </is>
      </c>
      <c r="B22" s="14" t="inlineStr">
        <is>
          <t>STRING</t>
        </is>
      </c>
      <c r="C22" s="15">
        <f> Customer (keep zeros)</f>
        <v/>
      </c>
      <c r="D22" s="19" t="inlineStr"/>
      <c r="E22" s="19" t="inlineStr"/>
      <c r="F22" s="19" t="inlineStr"/>
    </row>
    <row r="23">
      <c r="A23" s="13" t="inlineStr">
        <is>
          <t>accounting_doc</t>
        </is>
      </c>
      <c r="B23" s="14" t="inlineStr">
        <is>
          <t>STRING</t>
        </is>
      </c>
      <c r="C23" s="15">
        <f> AccountingDoc</f>
        <v/>
      </c>
      <c r="D23" s="19" t="inlineStr"/>
      <c r="E23" s="19" t="inlineStr"/>
      <c r="F23" s="19" t="inlineStr"/>
    </row>
    <row r="24">
      <c r="A24" s="13" t="inlineStr">
        <is>
          <t>fiscal_year</t>
        </is>
      </c>
      <c r="B24" s="14" t="inlineStr">
        <is>
          <t>STRING</t>
        </is>
      </c>
      <c r="C24" s="15">
        <f> FiscalYear</f>
        <v/>
      </c>
      <c r="D24" s="19" t="inlineStr"/>
      <c r="E24" s="19" t="inlineStr"/>
      <c r="F24" s="19" t="inlineStr"/>
    </row>
    <row r="25">
      <c r="A25" s="13" t="inlineStr">
        <is>
          <t>line_item</t>
        </is>
      </c>
      <c r="B25" s="14" t="inlineStr">
        <is>
          <t>STRING</t>
        </is>
      </c>
      <c r="C25" s="15">
        <f> LineItem</f>
        <v/>
      </c>
      <c r="D25" s="19" t="inlineStr"/>
      <c r="E25" s="19" t="inlineStr"/>
      <c r="F25" s="19" t="inlineStr"/>
    </row>
    <row r="26">
      <c r="A26" s="13" t="inlineStr">
        <is>
          <t>posting_date</t>
        </is>
      </c>
      <c r="B26" s="14" t="inlineStr">
        <is>
          <t>DATE</t>
        </is>
      </c>
      <c r="C26" s="15" t="inlineStr">
        <is>
          <t>safe_cast_date(PostingDate)</t>
        </is>
      </c>
      <c r="D26" s="19" t="inlineStr"/>
      <c r="E26" s="19" t="inlineStr"/>
      <c r="F26" s="19" t="inlineStr"/>
    </row>
    <row r="27">
      <c r="A27" s="13" t="inlineStr">
        <is>
          <t>amount_local</t>
        </is>
      </c>
      <c r="B27" s="14" t="inlineStr">
        <is>
          <t>DECIMAL</t>
        </is>
      </c>
      <c r="C27" s="15" t="inlineStr">
        <is>
          <t>safe_cast_decimal(AmountLocalCurrency)</t>
        </is>
      </c>
      <c r="D27" s="19" t="inlineStr"/>
      <c r="E27" s="19" t="inlineStr"/>
      <c r="F27" s="19" t="inlineStr"/>
    </row>
    <row r="28">
      <c r="A28" s="13" t="inlineStr">
        <is>
          <t>baseline_pay_date</t>
        </is>
      </c>
      <c r="B28" s="14" t="inlineStr">
        <is>
          <t>DATE</t>
        </is>
      </c>
      <c r="C28" s="15" t="inlineStr">
        <is>
          <t>safe_cast_date(BaselinePayDate)</t>
        </is>
      </c>
      <c r="D28" s="19" t="inlineStr"/>
      <c r="E28" s="19" t="inlineStr"/>
      <c r="F28" s="19" t="inlineStr"/>
    </row>
    <row r="29">
      <c r="A29" s="13" t="inlineStr">
        <is>
          <t>pay_term_days</t>
        </is>
      </c>
      <c r="B29" s="14" t="inlineStr">
        <is>
          <t>INT</t>
        </is>
      </c>
      <c r="C29" s="15" t="inlineStr">
        <is>
          <t>CAST(PayTermDays1 AS INT). Empty→0</t>
        </is>
      </c>
      <c r="D29" s="19" t="inlineStr"/>
      <c r="E29" s="19" t="inlineStr"/>
      <c r="F29" s="19" t="inlineStr"/>
    </row>
    <row r="30">
      <c r="A30" s="13" t="inlineStr">
        <is>
          <t>billing_document</t>
        </is>
      </c>
      <c r="B30" s="14" t="inlineStr">
        <is>
          <t>STRING</t>
        </is>
      </c>
      <c r="C30" s="15">
        <f> BillingDocument</f>
        <v/>
      </c>
      <c r="D30" s="19" t="inlineStr"/>
      <c r="E30" s="19" t="inlineStr"/>
      <c r="F30" s="19" t="inlineStr"/>
    </row>
    <row r="31">
      <c r="A31" s="13" t="inlineStr">
        <is>
          <t>clearing_date</t>
        </is>
      </c>
      <c r="B31" s="14" t="inlineStr">
        <is>
          <t>DATE</t>
        </is>
      </c>
      <c r="C31" s="15" t="inlineStr">
        <is>
          <t>safe_cast_date(ClearingDate). Empty→NULL</t>
        </is>
      </c>
      <c r="D31" s="19" t="inlineStr"/>
      <c r="E31" s="19" t="inlineStr"/>
      <c r="F31" s="19" t="inlineStr"/>
    </row>
    <row r="32">
      <c r="A32" s="13" t="inlineStr">
        <is>
          <t>due_date</t>
        </is>
      </c>
      <c r="B32" s="14" t="inlineStr">
        <is>
          <t>DATE</t>
        </is>
      </c>
      <c r="C32" s="15" t="inlineStr">
        <is>
          <t>DATE_ADD(baseline_pay_date, pay_term_days)</t>
        </is>
      </c>
      <c r="D32" s="19" t="inlineStr"/>
      <c r="E32" s="19" t="inlineStr"/>
      <c r="F32" s="19" t="inlineStr"/>
    </row>
    <row r="33">
      <c r="A33" s="13" t="inlineStr">
        <is>
          <t>ar_status</t>
        </is>
      </c>
      <c r="B33" s="14" t="inlineStr">
        <is>
          <t>STRING</t>
        </is>
      </c>
      <c r="C33" s="15" t="inlineStr">
        <is>
          <t>ClearingDate!=NULL→Liquidado. due_date&lt;today→Atrasado. else→Em dia</t>
        </is>
      </c>
      <c r="D33" s="19" t="inlineStr"/>
      <c r="E33" s="19" t="inlineStr"/>
      <c r="F33" s="19" t="inlineStr"/>
    </row>
    <row r="35">
      <c r="A35" s="20" t="inlineStr">
        <is>
          <t>🟢 GOLD — Derive from Silver + JOINs (Seedz API format)</t>
        </is>
      </c>
    </row>
    <row r="36">
      <c r="A36" s="21" t="inlineStr">
        <is>
          <t>Gold/API Field</t>
        </is>
      </c>
      <c r="B36" s="21" t="inlineStr">
        <is>
          <t>Type</t>
        </is>
      </c>
      <c r="C36" s="21" t="inlineStr">
        <is>
          <t>Derivation Rule</t>
        </is>
      </c>
      <c r="D36" s="21" t="inlineStr">
        <is>
          <t>Expected 1</t>
        </is>
      </c>
      <c r="E36" s="21" t="inlineStr">
        <is>
          <t>Expected 2</t>
        </is>
      </c>
      <c r="F36" s="21" t="inlineStr">
        <is>
          <t>Expected 3</t>
        </is>
      </c>
    </row>
    <row r="37">
      <c r="A37" s="13" t="inlineStr">
        <is>
          <t>identification</t>
        </is>
      </c>
      <c r="B37" s="14" t="inlineStr">
        <is>
          <t>STRING</t>
        </is>
      </c>
      <c r="C37" s="15" t="inlineStr">
        <is>
          <t>rut + '-' + plant (transactional)</t>
        </is>
      </c>
      <c r="D37" s="22" t="inlineStr"/>
      <c r="E37" s="22" t="inlineStr"/>
      <c r="F37" s="22" t="inlineStr"/>
    </row>
    <row r="38">
      <c r="A38" s="13" t="inlineStr">
        <is>
          <t>id</t>
        </is>
      </c>
      <c r="B38" s="14" t="inlineStr">
        <is>
          <t>STRING</t>
        </is>
      </c>
      <c r="C38" s="15" t="inlineStr">
        <is>
          <t>accounting_doc + '-' + fiscal_year + '-' + line_item</t>
        </is>
      </c>
      <c r="D38" s="22" t="inlineStr"/>
      <c r="E38" s="22" t="inlineStr"/>
      <c r="F38" s="22" t="inlineStr"/>
    </row>
    <row r="39">
      <c r="A39" s="13" t="inlineStr">
        <is>
          <t>clientId</t>
        </is>
      </c>
      <c r="B39" s="14" t="inlineStr">
        <is>
          <t>STRING</t>
        </is>
      </c>
      <c r="C39" s="15">
        <f> customer</f>
        <v/>
      </c>
      <c r="D39" s="22" t="inlineStr"/>
      <c r="E39" s="22" t="inlineStr"/>
      <c r="F39" s="22" t="inlineStr"/>
    </row>
    <row r="40">
      <c r="A40" s="13" t="inlineStr">
        <is>
          <t>clientDocument</t>
        </is>
      </c>
      <c r="B40" s="14" t="inlineStr">
        <is>
          <t>STRING</t>
        </is>
      </c>
      <c r="C40" s="15" t="inlineStr">
        <is>
          <t>JOIN customer → tax_id</t>
        </is>
      </c>
      <c r="D40" s="22" t="inlineStr"/>
      <c r="E40" s="22" t="inlineStr"/>
      <c r="F40" s="22" t="inlineStr"/>
    </row>
    <row r="41">
      <c r="A41" s="13" t="inlineStr">
        <is>
          <t>invoiceId</t>
        </is>
      </c>
      <c r="B41" s="14" t="inlineStr">
        <is>
          <t>STRING</t>
        </is>
      </c>
      <c r="C41" s="15">
        <f> billing_document</f>
        <v/>
      </c>
      <c r="D41" s="22" t="inlineStr"/>
      <c r="E41" s="22" t="inlineStr"/>
      <c r="F41" s="22" t="inlineStr"/>
    </row>
    <row r="42">
      <c r="A42" s="13" t="inlineStr">
        <is>
          <t>dueDate</t>
        </is>
      </c>
      <c r="B42" s="14" t="inlineStr">
        <is>
          <t>STRING</t>
        </is>
      </c>
      <c r="C42" s="15" t="inlineStr">
        <is>
          <t>dd-MM-yyyy HH:mm:ss from due_date</t>
        </is>
      </c>
      <c r="D42" s="22" t="inlineStr"/>
      <c r="E42" s="22" t="inlineStr"/>
      <c r="F42" s="22" t="inlineStr"/>
    </row>
    <row r="43">
      <c r="A43" s="13" t="inlineStr">
        <is>
          <t>amount</t>
        </is>
      </c>
      <c r="B43" s="14" t="inlineStr">
        <is>
          <t>STRING</t>
        </is>
      </c>
      <c r="C43" s="15">
        <f> amount_local as STRING</f>
        <v/>
      </c>
      <c r="D43" s="22" t="inlineStr"/>
      <c r="E43" s="22" t="inlineStr"/>
      <c r="F43" s="22" t="inlineStr"/>
    </row>
    <row r="44">
      <c r="A44" s="13" t="inlineStr">
        <is>
          <t>status</t>
        </is>
      </c>
      <c r="B44" s="14" t="inlineStr">
        <is>
          <t>STRING</t>
        </is>
      </c>
      <c r="C44" s="15">
        <f> ar_status</f>
        <v/>
      </c>
      <c r="D44" s="22" t="inlineStr"/>
      <c r="E44" s="22" t="inlineStr"/>
      <c r="F44" s="22" t="inlineStr"/>
    </row>
    <row r="45">
      <c r="A45" s="13" t="inlineStr">
        <is>
          <t>clearedAt</t>
        </is>
      </c>
      <c r="B45" s="14" t="inlineStr">
        <is>
          <t>STRING</t>
        </is>
      </c>
      <c r="C45" s="15" t="inlineStr">
        <is>
          <t>dd-MM-yyyy from clearing_date. NULL → ''</t>
        </is>
      </c>
      <c r="D45" s="22" t="inlineStr"/>
      <c r="E45" s="22" t="inlineStr"/>
      <c r="F45" s="22" t="inlineStr"/>
    </row>
    <row r="46">
      <c r="A46" s="13" t="inlineStr">
        <is>
          <t>updatedAt</t>
        </is>
      </c>
      <c r="B46" s="14" t="inlineStr">
        <is>
          <t>STRING</t>
        </is>
      </c>
      <c r="C46" s="15" t="inlineStr">
        <is>
          <t>current_timestamp()</t>
        </is>
      </c>
      <c r="D46" s="22" t="inlineStr"/>
      <c r="E46" s="22" t="inlineStr"/>
      <c r="F46" s="22" t="inlineStr"/>
    </row>
  </sheetData>
  <mergeCells count="5">
    <mergeCell ref="A19:C19"/>
    <mergeCell ref="A2:H2"/>
    <mergeCell ref="A1:H1"/>
    <mergeCell ref="A35:C35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5100"/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Golden Fixture: Censacional</t>
        </is>
      </c>
    </row>
    <row r="2">
      <c r="A2" s="2" t="inlineStr">
        <is>
          <t>Records to extract from SE16: Machinery invoice with VIN (the only Censacional record)</t>
        </is>
      </c>
    </row>
    <row r="4">
      <c r="A4" s="20" t="inlineStr">
        <is>
          <t>🟢 GOLD — Derive from Silver + JOINs (Seedz API format)</t>
        </is>
      </c>
    </row>
    <row r="5">
      <c r="A5" s="21" t="inlineStr">
        <is>
          <t>Gold/API Field</t>
        </is>
      </c>
      <c r="B5" s="21" t="inlineStr">
        <is>
          <t>Type</t>
        </is>
      </c>
      <c r="C5" s="21" t="inlineStr">
        <is>
          <t>Derivation Rule</t>
        </is>
      </c>
      <c r="D5" s="21" t="inlineStr">
        <is>
          <t>Expected 1</t>
        </is>
      </c>
    </row>
    <row r="6">
      <c r="A6" s="13" t="inlineStr">
        <is>
          <t>identification</t>
        </is>
      </c>
      <c r="B6" s="14" t="inlineStr">
        <is>
          <t>STRING</t>
        </is>
      </c>
      <c r="C6" s="15" t="inlineStr">
        <is>
          <t>rut + '-' + plant</t>
        </is>
      </c>
      <c r="D6" s="22" t="inlineStr"/>
    </row>
    <row r="7">
      <c r="A7" s="13" t="inlineStr">
        <is>
          <t>id</t>
        </is>
      </c>
      <c r="B7" s="14" t="inlineStr">
        <is>
          <t>STRING</t>
        </is>
      </c>
      <c r="C7" s="15" t="inlineStr">
        <is>
          <t>billing_document + '-' + billing_item</t>
        </is>
      </c>
      <c r="D7" s="22" t="inlineStr"/>
    </row>
    <row r="8">
      <c r="A8" s="13" t="inlineStr">
        <is>
          <t>chassi</t>
        </is>
      </c>
      <c r="B8" s="14" t="inlineStr">
        <is>
          <t>STRING</t>
        </is>
      </c>
      <c r="C8" s="15" t="inlineStr">
        <is>
          <t>JOIN equipment ON batch → serial_number (VIN!)</t>
        </is>
      </c>
      <c r="D8" s="22" t="inlineStr"/>
    </row>
    <row r="9">
      <c r="A9" s="13" t="inlineStr">
        <is>
          <t>model</t>
        </is>
      </c>
      <c r="B9" s="14" t="inlineStr">
        <is>
          <t>STRING</t>
        </is>
      </c>
      <c r="C9" s="15" t="inlineStr">
        <is>
          <t>JOIN material → material_description (MAKT.MAKTX)</t>
        </is>
      </c>
      <c r="D9" s="22" t="inlineStr"/>
    </row>
    <row r="10">
      <c r="A10" s="13" t="inlineStr">
        <is>
          <t>vehicleState</t>
        </is>
      </c>
      <c r="B10" s="14" t="inlineStr">
        <is>
          <t>STRING</t>
        </is>
      </c>
      <c r="C10" s="15" t="inlineStr">
        <is>
          <t>JOIN config_vehicle_state ON division prefix → N/U</t>
        </is>
      </c>
      <c r="D10" s="22" t="inlineStr"/>
    </row>
    <row r="11">
      <c r="A11" s="13" t="inlineStr">
        <is>
          <t>city</t>
        </is>
      </c>
      <c r="B11" s="14" t="inlineStr">
        <is>
          <t>STRING</t>
        </is>
      </c>
      <c r="C11" s="15" t="inlineStr">
        <is>
          <t>JOIN customer → city</t>
        </is>
      </c>
      <c r="D11" s="22" t="inlineStr"/>
    </row>
    <row r="12">
      <c r="A12" s="13" t="inlineStr">
        <is>
          <t>state</t>
        </is>
      </c>
      <c r="B12" s="14" t="inlineStr">
        <is>
          <t>STRING</t>
        </is>
      </c>
      <c r="C12" s="15" t="inlineStr">
        <is>
          <t>JOIN customer → region</t>
        </is>
      </c>
      <c r="D12" s="22" t="inlineStr"/>
    </row>
    <row r="13">
      <c r="A13" s="13" t="inlineStr">
        <is>
          <t>clientZipCode</t>
        </is>
      </c>
      <c r="B13" s="14" t="inlineStr">
        <is>
          <t>STRING</t>
        </is>
      </c>
      <c r="C13" s="15" t="inlineStr">
        <is>
          <t>JOIN customer → postal_code</t>
        </is>
      </c>
      <c r="D13" s="22" t="inlineStr"/>
    </row>
    <row r="14">
      <c r="A14" s="13" t="inlineStr">
        <is>
          <t>sellerName</t>
        </is>
      </c>
      <c r="B14" s="14" t="inlineStr">
        <is>
          <t>STRING</t>
        </is>
      </c>
      <c r="C14" s="15" t="inlineStr">
        <is>
          <t>JOIN seller → seller_name (TRIMMED)</t>
        </is>
      </c>
      <c r="D14" s="22" t="inlineStr"/>
    </row>
    <row r="15">
      <c r="A15" s="13" t="inlineStr">
        <is>
          <t>itemBrand</t>
        </is>
      </c>
      <c r="B15" s="14" t="inlineStr">
        <is>
          <t>STRING</t>
        </is>
      </c>
      <c r="C15" s="15" t="inlineStr">
        <is>
          <t>JOIN material.manufacturer → config_brand_rules → brand</t>
        </is>
      </c>
      <c r="D15" s="22" t="inlineStr"/>
    </row>
    <row r="16">
      <c r="A16" s="13" t="inlineStr">
        <is>
          <t>itemBatch</t>
        </is>
      </c>
      <c r="B16" s="14" t="inlineStr">
        <is>
          <t>STRING</t>
        </is>
      </c>
      <c r="C16" s="15">
        <f> batch (from invoice item)</f>
        <v/>
      </c>
      <c r="D16" s="22" t="inlineStr"/>
    </row>
    <row r="17">
      <c r="A17" s="13" t="inlineStr">
        <is>
          <t>branch</t>
        </is>
      </c>
      <c r="B17" s="14" t="inlineStr">
        <is>
          <t>STRING</t>
        </is>
      </c>
      <c r="C17" s="15">
        <f> plant</f>
        <v/>
      </c>
      <c r="D17" s="22" t="inlineStr"/>
    </row>
    <row r="18">
      <c r="A18" s="13" t="inlineStr">
        <is>
          <t>companyIdentification</t>
        </is>
      </c>
      <c r="B18" s="14" t="inlineStr">
        <is>
          <t>STRING</t>
        </is>
      </c>
      <c r="C18" s="15" t="inlineStr">
        <is>
          <t>config_company.rut</t>
        </is>
      </c>
      <c r="D18" s="22" t="inlineStr"/>
    </row>
    <row r="19">
      <c r="A19" s="13" t="inlineStr">
        <is>
          <t>tenantId</t>
        </is>
      </c>
      <c r="B19" s="14" t="inlineStr">
        <is>
          <t>STRING</t>
        </is>
      </c>
      <c r="C19" s="15" t="inlineStr">
        <is>
          <t>config_company.seedz_tenant_id</t>
        </is>
      </c>
      <c r="D19" s="22" t="inlineStr"/>
    </row>
  </sheetData>
  <mergeCells count="3">
    <mergeCell ref="A4:C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3333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</cols>
  <sheetData>
    <row r="1">
      <c r="A1" s="1" t="inlineStr">
        <is>
          <t>Configuration Tables — Fill these FIRST</t>
        </is>
      </c>
    </row>
    <row r="2">
      <c r="A2" s="2" t="inlineStr">
        <is>
          <t>These are used by Silver/Gold transformations. Get real values from SALFA.</t>
        </is>
      </c>
    </row>
    <row r="4">
      <c r="A4" s="6" t="inlineStr">
        <is>
          <t>brz_config_brand_rules</t>
        </is>
      </c>
      <c r="B4" s="2" t="inlineStr">
        <is>
          <t>MFRNR values for JD. Check MARA-MFRNR in SAP.</t>
        </is>
      </c>
    </row>
    <row r="5">
      <c r="A5" s="12" t="inlineStr">
        <is>
          <t>manufacturer</t>
        </is>
      </c>
      <c r="B5" s="12" t="inlineStr">
        <is>
          <t>brand</t>
        </is>
      </c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10">
      <c r="A10" s="6" t="inlineStr">
        <is>
          <t>brz_config_vehicle_state</t>
        </is>
      </c>
      <c r="B10" s="2" t="inlineStr">
        <is>
          <t>Division prefix → N(ew)/U(sed). Check actual SPART values.</t>
        </is>
      </c>
    </row>
    <row r="11">
      <c r="A11" s="12" t="inlineStr">
        <is>
          <t>spart_pattern</t>
        </is>
      </c>
      <c r="B11" s="12" t="inlineStr">
        <is>
          <t>vehicle_state</t>
        </is>
      </c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6">
      <c r="A16" s="6" t="inlineStr">
        <is>
          <t>brz_config_rfbsk</t>
        </is>
      </c>
      <c r="B16" s="2" t="inlineStr">
        <is>
          <t>Billing status codes. Check VBRK-RFBSK in SAP.</t>
        </is>
      </c>
    </row>
    <row r="17">
      <c r="A17" s="12" t="inlineStr">
        <is>
          <t>rfbsk_code</t>
        </is>
      </c>
      <c r="B17" s="12" t="inlineStr">
        <is>
          <t>status_label</t>
        </is>
      </c>
      <c r="C17" s="12" t="inlineStr">
        <is>
          <t>status_id</t>
        </is>
      </c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2">
      <c r="A22" s="6" t="inlineStr">
        <is>
          <t>brz_config_company</t>
        </is>
      </c>
      <c r="B22" s="2" t="inlineStr">
        <is>
          <t>SALFA company RUT and Seedz tenant.</t>
        </is>
      </c>
    </row>
    <row r="23">
      <c r="A23" s="12" t="inlineStr">
        <is>
          <t>company_code</t>
        </is>
      </c>
      <c r="B23" s="12" t="inlineStr">
        <is>
          <t>rut</t>
        </is>
      </c>
      <c r="C23" s="12" t="inlineStr">
        <is>
          <t>seedz_tenant_id</t>
        </is>
      </c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8">
      <c r="A28" s="6" t="inlineStr">
        <is>
          <t>brz_config_werks</t>
        </is>
      </c>
      <c r="B28" s="2" t="inlineStr">
        <is>
          <t>All SALFA plants.</t>
        </is>
      </c>
    </row>
    <row r="29">
      <c r="A29" s="12" t="inlineStr">
        <is>
          <t>plant</t>
        </is>
      </c>
      <c r="B29" s="12" t="inlineStr">
        <is>
          <t>plant_name</t>
        </is>
      </c>
    </row>
    <row r="30">
      <c r="A30" s="16" t="n"/>
      <c r="B30" s="16" t="n"/>
    </row>
    <row r="31">
      <c r="A31" s="16" t="n"/>
      <c r="B31" s="16" t="n"/>
    </row>
    <row r="32">
      <c r="A32" s="16" t="n"/>
      <c r="B32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2026-02-22T20:09:39Z</dcterms:created>
  <dcterms:modified xmlns:dcterms="http://purl.org/dc/terms/" xmlns:xsi="http://www.w3.org/2001/XMLSchema-instance" xsi:type="dcterms:W3CDTF">2026-02-22T20:09:39Z</dcterms:modified>
</cp:coreProperties>
</file>